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4.xml" ContentType="application/vnd.openxmlformats-officedocument.drawing+xml"/>
  <Override PartName="/xl/charts/chart44.xml" ContentType="application/vnd.openxmlformats-officedocument.drawingml.chart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372" windowWidth="16152" windowHeight="8808" tabRatio="758"/>
  </bookViews>
  <sheets>
    <sheet name="Section I Data Input" sheetId="5" r:id="rId1"/>
    <sheet name="Section II Ladder and Sample" sheetId="1" state="hidden" r:id="rId2"/>
    <sheet name="Section III Length Calculation" sheetId="2" state="hidden" r:id="rId3"/>
    <sheet name="Section IV Result" sheetId="3" state="hidden" r:id="rId4"/>
  </sheets>
  <functionGroups builtInGroupCount="17"/>
  <calcPr calcId="145621"/>
</workbook>
</file>

<file path=xl/calcChain.xml><?xml version="1.0" encoding="utf-8"?>
<calcChain xmlns="http://schemas.openxmlformats.org/spreadsheetml/2006/main">
  <c r="G27" i="1" l="1"/>
  <c r="E27" i="1"/>
  <c r="G15" i="1"/>
  <c r="E15" i="1"/>
  <c r="G3" i="1"/>
  <c r="E3" i="1"/>
  <c r="J14" i="1" l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4" i="1"/>
  <c r="J5" i="1"/>
  <c r="J6" i="1"/>
  <c r="J7" i="1"/>
  <c r="J8" i="1"/>
  <c r="J9" i="1"/>
  <c r="J10" i="1"/>
  <c r="J11" i="1"/>
  <c r="J12" i="1"/>
  <c r="J13" i="1"/>
  <c r="K31" i="1" l="1"/>
  <c r="K28" i="1"/>
  <c r="K23" i="1"/>
  <c r="K24" i="1"/>
  <c r="K25" i="1"/>
  <c r="K26" i="1"/>
  <c r="K27" i="1"/>
  <c r="K29" i="1"/>
  <c r="K30" i="1"/>
  <c r="K32" i="1"/>
  <c r="K5" i="1"/>
  <c r="K12" i="1" l="1"/>
  <c r="K8" i="1"/>
  <c r="K4" i="1"/>
  <c r="K11" i="1"/>
  <c r="K7" i="1"/>
  <c r="K10" i="1"/>
  <c r="K6" i="1"/>
  <c r="K9" i="1"/>
  <c r="I3" i="1"/>
  <c r="J3" i="1" s="1"/>
  <c r="K3" i="1" s="1"/>
  <c r="K13" i="1" l="1"/>
  <c r="K17" i="1"/>
  <c r="K14" i="1"/>
  <c r="K18" i="1"/>
  <c r="K22" i="1"/>
  <c r="K19" i="1"/>
  <c r="K15" i="1"/>
  <c r="K16" i="1"/>
  <c r="K20" i="1"/>
  <c r="K21" i="1"/>
</calcChain>
</file>

<file path=xl/sharedStrings.xml><?xml version="1.0" encoding="utf-8"?>
<sst xmlns="http://schemas.openxmlformats.org/spreadsheetml/2006/main" count="64" uniqueCount="33">
  <si>
    <t>Part II</t>
  </si>
  <si>
    <t>Part III</t>
  </si>
  <si>
    <t>Ladder size</t>
  </si>
  <si>
    <t>Position</t>
  </si>
  <si>
    <t>Power regression</t>
  </si>
  <si>
    <t>Box #</t>
  </si>
  <si>
    <t>Fomula</t>
  </si>
  <si>
    <t>MW</t>
  </si>
  <si>
    <t>y=</t>
  </si>
  <si>
    <t>x^</t>
  </si>
  <si>
    <t>ladder</t>
  </si>
  <si>
    <t>Lane #</t>
  </si>
  <si>
    <t>Unweighed</t>
  </si>
  <si>
    <t>Weighed</t>
  </si>
  <si>
    <t>Volume</t>
  </si>
  <si>
    <t>Part VII</t>
  </si>
  <si>
    <t>blank</t>
  </si>
  <si>
    <t>Part I</t>
  </si>
  <si>
    <t>Formula 2</t>
  </si>
  <si>
    <t>Formula 3</t>
  </si>
  <si>
    <t>Ladder</t>
  </si>
  <si>
    <t>Sample Information</t>
  </si>
  <si>
    <t>Suggested lower box</t>
  </si>
  <si>
    <t>Custom lower box</t>
  </si>
  <si>
    <t>Custom upper box</t>
  </si>
  <si>
    <t>Formula 1</t>
  </si>
  <si>
    <t>Sample</t>
  </si>
  <si>
    <t>Note</t>
  </si>
  <si>
    <t>BC</t>
  </si>
  <si>
    <t>LP</t>
  </si>
  <si>
    <t>LC</t>
  </si>
  <si>
    <t>ST</t>
  </si>
  <si>
    <t>short6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</si>
</sst>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>
    <font>
      <sz val="11"/>
      <color theme="1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78">
    <xf numFmtId="0" fontId="0" fillId="0" borderId="0" xfId="0"/>
    <xf numFmtId="0" fontId="1" fillId="4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2" fontId="0" fillId="2" borderId="1" xfId="0" applyNumberFormat="1" applyFill="1" applyBorder="1"/>
    <xf numFmtId="2" fontId="0" fillId="2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0" fillId="0" borderId="1" xfId="0" applyNumberFormat="1" applyBorder="1"/>
    <xf numFmtId="0" fontId="1" fillId="0" borderId="1" xfId="0" applyFont="1" applyFill="1" applyBorder="1" applyAlignment="1">
      <alignment horizontal="left"/>
    </xf>
    <xf numFmtId="164" fontId="2" fillId="0" borderId="0" xfId="0" applyNumberFormat="1" applyFont="1" applyFill="1" applyBorder="1" applyAlignment="1">
      <alignment horizontal="left"/>
    </xf>
    <xf numFmtId="0" fontId="2" fillId="0" borderId="0" xfId="0" applyFont="1"/>
    <xf numFmtId="0" fontId="2" fillId="7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" fillId="5" borderId="1" xfId="0" applyFon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1" fontId="2" fillId="8" borderId="1" xfId="0" applyNumberFormat="1" applyFont="1" applyFill="1" applyBorder="1" applyAlignment="1">
      <alignment horizontal="left"/>
    </xf>
    <xf numFmtId="1" fontId="1" fillId="8" borderId="1" xfId="0" applyNumberFormat="1" applyFont="1" applyFill="1" applyBorder="1" applyAlignment="1">
      <alignment horizontal="left"/>
    </xf>
    <xf numFmtId="2" fontId="2" fillId="8" borderId="1" xfId="0" applyNumberFormat="1" applyFont="1" applyFill="1" applyBorder="1" applyAlignment="1">
      <alignment horizontal="left"/>
    </xf>
    <xf numFmtId="2" fontId="1" fillId="8" borderId="1" xfId="0" applyNumberFormat="1" applyFont="1" applyFill="1" applyBorder="1" applyAlignment="1">
      <alignment horizontal="left"/>
    </xf>
    <xf numFmtId="0" fontId="1" fillId="0" borderId="0" xfId="0" applyFont="1"/>
    <xf numFmtId="0" fontId="1" fillId="5" borderId="1" xfId="0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left"/>
    </xf>
    <xf numFmtId="0" fontId="0" fillId="7" borderId="1" xfId="0" applyFill="1" applyBorder="1"/>
    <xf numFmtId="2" fontId="2" fillId="8" borderId="1" xfId="0" applyNumberFormat="1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1" xfId="0" applyFill="1" applyBorder="1"/>
    <xf numFmtId="1" fontId="2" fillId="7" borderId="1" xfId="0" applyNumberFormat="1" applyFont="1" applyFill="1" applyBorder="1" applyAlignment="1">
      <alignment horizontal="center"/>
    </xf>
    <xf numFmtId="1" fontId="2" fillId="7" borderId="1" xfId="0" applyNumberFormat="1" applyFont="1" applyFill="1" applyBorder="1" applyAlignment="1">
      <alignment horizontal="left"/>
    </xf>
    <xf numFmtId="1" fontId="1" fillId="7" borderId="1" xfId="0" applyNumberFormat="1" applyFont="1" applyFill="1" applyBorder="1" applyAlignment="1">
      <alignment horizontal="left"/>
    </xf>
    <xf numFmtId="1" fontId="1" fillId="7" borderId="1" xfId="0" applyNumberFormat="1" applyFont="1" applyFill="1" applyBorder="1" applyAlignment="1">
      <alignment horizontal="center"/>
    </xf>
    <xf numFmtId="164" fontId="2" fillId="8" borderId="1" xfId="0" applyNumberFormat="1" applyFont="1" applyFill="1" applyBorder="1" applyAlignment="1">
      <alignment horizontal="left"/>
    </xf>
    <xf numFmtId="164" fontId="1" fillId="8" borderId="1" xfId="0" applyNumberFormat="1" applyFont="1" applyFill="1" applyBorder="1" applyAlignment="1">
      <alignment horizontal="left"/>
    </xf>
    <xf numFmtId="164" fontId="1" fillId="8" borderId="1" xfId="0" applyNumberFormat="1" applyFont="1" applyFill="1" applyBorder="1" applyAlignment="1">
      <alignment horizontal="center"/>
    </xf>
    <xf numFmtId="164" fontId="2" fillId="0" borderId="0" xfId="0" applyNumberFormat="1" applyFont="1"/>
    <xf numFmtId="0" fontId="1" fillId="0" borderId="0" xfId="0" applyNumberFormat="1" applyFont="1" applyFill="1" applyBorder="1" applyAlignment="1">
      <alignment horizontal="left"/>
    </xf>
    <xf numFmtId="0" fontId="2" fillId="0" borderId="0" xfId="0" applyNumberFormat="1" applyFont="1" applyFill="1" applyBorder="1" applyAlignment="1">
      <alignment horizontal="left"/>
    </xf>
    <xf numFmtId="0" fontId="1" fillId="4" borderId="2" xfId="0" applyFont="1" applyFill="1" applyBorder="1" applyAlignment="1">
      <alignment vertical="center"/>
    </xf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9" borderId="0" xfId="0" applyFill="1"/>
    <xf numFmtId="0" fontId="0" fillId="10" borderId="1" xfId="0" applyFill="1" applyBorder="1" applyAlignment="1">
      <alignment horizontal="left"/>
    </xf>
    <xf numFmtId="0" fontId="1" fillId="9" borderId="1" xfId="0" applyFont="1" applyFill="1" applyBorder="1"/>
    <xf numFmtId="0" fontId="0" fillId="9" borderId="1" xfId="0" applyFill="1" applyBorder="1"/>
    <xf numFmtId="0" fontId="1" fillId="4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2" borderId="1" xfId="0" applyFont="1" applyFill="1" applyBorder="1"/>
    <xf numFmtId="0" fontId="0" fillId="0" borderId="0" xfId="0" applyAlignment="1">
      <alignment vertical="top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0" fontId="2" fillId="0" borderId="0" xfId="0" applyFont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/>
            </a:pPr>
            <a:r>
              <a:rPr lang="en-US" sz="1200" b="1"/>
              <a:t>Upper ladder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71702755905512"/>
          <c:y val="0.1927258311461067"/>
          <c:w val="0.76587139107611546"/>
          <c:h val="0.5832693569553806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79646">
                  <a:lumMod val="75000"/>
                </a:srgbClr>
              </a:solidFill>
              <a:ln>
                <a:noFill/>
              </a:ln>
            </c:spPr>
          </c:marker>
          <c:trendline>
            <c:spPr>
              <a:ln w="28575">
                <a:solidFill>
                  <a:sysClr val="windowText" lastClr="000000">
                    <a:lumMod val="75000"/>
                    <a:lumOff val="25000"/>
                  </a:sysClr>
                </a:solidFill>
              </a:ln>
            </c:spPr>
            <c:trendlineType val="power"/>
            <c:dispRSqr val="1"/>
            <c:dispEq val="1"/>
            <c:trendlineLbl>
              <c:layout>
                <c:manualLayout>
                  <c:x val="-0.23516338582677165"/>
                  <c:y val="0.17310148731408573"/>
                </c:manualLayout>
              </c:layout>
              <c:numFmt formatCode="General" sourceLinked="0"/>
            </c:trendlineLbl>
          </c:trendline>
          <c:xVal>
            <c:numRef>
              <c:f>'Section II Ladder and Sample'!$A$3:$A$6</c:f>
              <c:numCache>
                <c:formatCode>General</c:formatCode>
                <c:ptCount val="4"/>
              </c:numCache>
            </c:numRef>
          </c:xVal>
          <c:yVal>
            <c:numRef>
              <c:f>'Section II Ladder and Sample'!$B$3:$B$6</c:f>
              <c:numCache>
                <c:formatCode>General</c:formatCode>
                <c:ptCount val="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99744"/>
        <c:axId val="87618304"/>
      </c:scatterChart>
      <c:valAx>
        <c:axId val="87599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/>
                  <a:t>Ladder</a:t>
                </a:r>
                <a:r>
                  <a:rPr lang="en-US" b="0" baseline="0"/>
                  <a:t> size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7618304"/>
        <c:crosses val="autoZero"/>
        <c:crossBetween val="midCat"/>
      </c:valAx>
      <c:valAx>
        <c:axId val="87618304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Position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7599744"/>
        <c:crosses val="autoZero"/>
        <c:crossBetween val="midCat"/>
      </c:valAx>
      <c:spPr>
        <a:noFill/>
        <a:ln w="12700">
          <a:solidFill>
            <a:schemeClr val="tx1">
              <a:lumMod val="50000"/>
              <a:lumOff val="50000"/>
            </a:schemeClr>
          </a:solidFill>
          <a:prstDash val="solid"/>
        </a:ln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rgbClr val="4F81BD">
          <a:lumMod val="60000"/>
          <a:lumOff val="40000"/>
        </a:srgb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/>
            </a:pPr>
            <a:r>
              <a:rPr lang="en-US"/>
              <a:t>Intermediate ladder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71702755905512"/>
          <c:y val="0.1927258311461067"/>
          <c:w val="0.76587139107611546"/>
          <c:h val="0.5832693569553806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79646">
                  <a:lumMod val="75000"/>
                </a:srgbClr>
              </a:solidFill>
              <a:ln>
                <a:noFill/>
              </a:ln>
            </c:spPr>
          </c:marker>
          <c:trendline>
            <c:spPr>
              <a:ln w="28575">
                <a:solidFill>
                  <a:sysClr val="windowText" lastClr="000000">
                    <a:lumMod val="75000"/>
                    <a:lumOff val="25000"/>
                  </a:sysClr>
                </a:solidFill>
              </a:ln>
            </c:spPr>
            <c:trendlineType val="power"/>
            <c:dispRSqr val="1"/>
            <c:dispEq val="1"/>
            <c:trendlineLbl>
              <c:layout>
                <c:manualLayout>
                  <c:x val="-0.23516338582677165"/>
                  <c:y val="0.17310148731408573"/>
                </c:manualLayout>
              </c:layout>
              <c:numFmt formatCode="General" sourceLinked="0"/>
            </c:trendlineLbl>
          </c:trendline>
          <c:xVal>
            <c:numRef>
              <c:f>'Section II Ladder and Sample'!$A$7:$A$13</c:f>
              <c:numCache>
                <c:formatCode>General</c:formatCode>
                <c:ptCount val="7"/>
              </c:numCache>
            </c:numRef>
          </c:xVal>
          <c:yVal>
            <c:numRef>
              <c:f>'Section II Ladder and Sample'!$B$7:$B$13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06496"/>
        <c:axId val="88108416"/>
      </c:scatterChart>
      <c:valAx>
        <c:axId val="88106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/>
                  <a:t>Ladder size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108416"/>
        <c:crosses val="autoZero"/>
        <c:crossBetween val="midCat"/>
      </c:valAx>
      <c:valAx>
        <c:axId val="88108416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/>
                  <a:t>Position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106496"/>
        <c:crosses val="autoZero"/>
        <c:crossBetween val="midCat"/>
      </c:valAx>
      <c:spPr>
        <a:noFill/>
        <a:ln w="12700">
          <a:solidFill>
            <a:schemeClr val="tx1">
              <a:lumMod val="50000"/>
              <a:lumOff val="50000"/>
            </a:schemeClr>
          </a:solidFill>
          <a:prstDash val="solid"/>
        </a:ln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rgbClr val="4F81BD">
          <a:lumMod val="60000"/>
          <a:lumOff val="40000"/>
        </a:srgb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/>
            </a:pPr>
            <a:r>
              <a:rPr lang="en-US"/>
              <a:t>Lower ladder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71702755905512"/>
          <c:y val="0.1927258311461067"/>
          <c:w val="0.76587139107611546"/>
          <c:h val="0.5832693569553806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79646">
                  <a:lumMod val="75000"/>
                </a:srgbClr>
              </a:solidFill>
              <a:ln>
                <a:noFill/>
              </a:ln>
            </c:spPr>
          </c:marker>
          <c:trendline>
            <c:spPr>
              <a:ln w="28575">
                <a:solidFill>
                  <a:sysClr val="windowText" lastClr="000000">
                    <a:lumMod val="75000"/>
                    <a:lumOff val="25000"/>
                  </a:sysClr>
                </a:solidFill>
              </a:ln>
            </c:spPr>
            <c:trendlineType val="power"/>
            <c:dispRSqr val="1"/>
            <c:dispEq val="1"/>
            <c:trendlineLbl>
              <c:layout>
                <c:manualLayout>
                  <c:x val="-0.23516338582677165"/>
                  <c:y val="0.17310148731408573"/>
                </c:manualLayout>
              </c:layout>
              <c:numFmt formatCode="General" sourceLinked="0"/>
            </c:trendlineLbl>
          </c:trendline>
          <c:xVal>
            <c:numRef>
              <c:f>'Section II Ladder and Sample'!$A$13:$A$16</c:f>
              <c:numCache>
                <c:formatCode>General</c:formatCode>
                <c:ptCount val="4"/>
              </c:numCache>
            </c:numRef>
          </c:xVal>
          <c:yVal>
            <c:numRef>
              <c:f>'Section II Ladder and Sample'!$B$13:$B$16</c:f>
              <c:numCache>
                <c:formatCode>General</c:formatCode>
                <c:ptCount val="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72288"/>
        <c:axId val="88574208"/>
      </c:scatterChart>
      <c:valAx>
        <c:axId val="88572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/>
                  <a:t>Ladder size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574208"/>
        <c:crosses val="autoZero"/>
        <c:crossBetween val="midCat"/>
      </c:valAx>
      <c:valAx>
        <c:axId val="88574208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/>
                  <a:t>Position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572288"/>
        <c:crosses val="autoZero"/>
        <c:crossBetween val="midCat"/>
      </c:valAx>
      <c:spPr>
        <a:noFill/>
        <a:ln w="12700">
          <a:solidFill>
            <a:schemeClr val="tx1">
              <a:lumMod val="50000"/>
              <a:lumOff val="50000"/>
            </a:schemeClr>
          </a:solidFill>
          <a:prstDash val="solid"/>
        </a:ln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rgbClr val="4F81BD">
          <a:lumMod val="60000"/>
          <a:lumOff val="40000"/>
        </a:srgb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Calculation'!$K$3:$K$32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Calculation'!$N$3:$N$32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22208"/>
        <c:axId val="96232192"/>
      </c:scatterChart>
      <c:valAx>
        <c:axId val="96222208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6232192"/>
        <c:crosses val="autoZero"/>
        <c:crossBetween val="midCat"/>
        <c:majorUnit val="3"/>
      </c:valAx>
      <c:valAx>
        <c:axId val="96232192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622220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Calculation'!$D$3:$D$32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6245632"/>
        <c:axId val="96247168"/>
      </c:barChart>
      <c:catAx>
        <c:axId val="9624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96247168"/>
        <c:crossesAt val="0"/>
        <c:auto val="1"/>
        <c:lblAlgn val="ctr"/>
        <c:lblOffset val="100"/>
        <c:tickMarkSkip val="3"/>
        <c:noMultiLvlLbl val="0"/>
      </c:catAx>
      <c:valAx>
        <c:axId val="96247168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6245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Calculation'!$K$33:$K$62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Calculation'!$N$33:$N$62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20960"/>
        <c:axId val="97726848"/>
      </c:scatterChart>
      <c:valAx>
        <c:axId val="97720960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7726848"/>
        <c:crosses val="autoZero"/>
        <c:crossBetween val="midCat"/>
        <c:majorUnit val="3"/>
      </c:valAx>
      <c:valAx>
        <c:axId val="97726848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7720960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Calculation'!$D$33:$D$62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7741824"/>
        <c:axId val="97764096"/>
      </c:barChart>
      <c:catAx>
        <c:axId val="97741824"/>
        <c:scaling>
          <c:orientation val="minMax"/>
        </c:scaling>
        <c:delete val="0"/>
        <c:axPos val="b"/>
        <c:majorTickMark val="out"/>
        <c:minorTickMark val="none"/>
        <c:tickLblPos val="nextTo"/>
        <c:crossAx val="97764096"/>
        <c:crossesAt val="0"/>
        <c:auto val="1"/>
        <c:lblAlgn val="ctr"/>
        <c:lblOffset val="100"/>
        <c:tickMarkSkip val="3"/>
        <c:noMultiLvlLbl val="0"/>
      </c:catAx>
      <c:valAx>
        <c:axId val="97764096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7741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Calculation'!$K$63:$K$92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Calculation'!$N$63:$N$92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98432"/>
        <c:axId val="90899968"/>
      </c:scatterChart>
      <c:valAx>
        <c:axId val="90898432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0899968"/>
        <c:crosses val="autoZero"/>
        <c:crossBetween val="midCat"/>
        <c:majorUnit val="3"/>
      </c:valAx>
      <c:valAx>
        <c:axId val="90899968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0898432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Calculation'!$D$63:$D$92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0919680"/>
        <c:axId val="90921216"/>
      </c:barChart>
      <c:catAx>
        <c:axId val="9091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90921216"/>
        <c:crossesAt val="0"/>
        <c:auto val="1"/>
        <c:lblAlgn val="ctr"/>
        <c:lblOffset val="100"/>
        <c:tickMarkSkip val="3"/>
        <c:noMultiLvlLbl val="0"/>
      </c:catAx>
      <c:valAx>
        <c:axId val="90921216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0919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Calculation'!$K$93:$K$122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Calculation'!$N$93:$N$122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49120"/>
        <c:axId val="90950656"/>
      </c:scatterChart>
      <c:valAx>
        <c:axId val="90949120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0950656"/>
        <c:crosses val="autoZero"/>
        <c:crossBetween val="midCat"/>
        <c:majorUnit val="3"/>
      </c:valAx>
      <c:valAx>
        <c:axId val="90950656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0949120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Calculation'!$D$93:$D$122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7595776"/>
        <c:axId val="97597312"/>
      </c:barChart>
      <c:catAx>
        <c:axId val="97595776"/>
        <c:scaling>
          <c:orientation val="minMax"/>
        </c:scaling>
        <c:delete val="0"/>
        <c:axPos val="b"/>
        <c:majorTickMark val="out"/>
        <c:minorTickMark val="none"/>
        <c:tickLblPos val="nextTo"/>
        <c:crossAx val="97597312"/>
        <c:crossesAt val="0"/>
        <c:auto val="1"/>
        <c:lblAlgn val="ctr"/>
        <c:lblOffset val="100"/>
        <c:tickMarkSkip val="3"/>
        <c:noMultiLvlLbl val="0"/>
      </c:catAx>
      <c:valAx>
        <c:axId val="97597312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7595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Calculation'!$K$123:$K$152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Calculation'!$N$123:$N$152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25216"/>
        <c:axId val="97626752"/>
      </c:scatterChart>
      <c:valAx>
        <c:axId val="97625216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7626752"/>
        <c:crosses val="autoZero"/>
        <c:crossBetween val="midCat"/>
        <c:majorUnit val="3"/>
      </c:valAx>
      <c:valAx>
        <c:axId val="97626752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76252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Calculation'!$D$123:$D$152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7519488"/>
        <c:axId val="97521024"/>
      </c:barChart>
      <c:catAx>
        <c:axId val="97519488"/>
        <c:scaling>
          <c:orientation val="minMax"/>
        </c:scaling>
        <c:delete val="0"/>
        <c:axPos val="b"/>
        <c:majorTickMark val="out"/>
        <c:minorTickMark val="none"/>
        <c:tickLblPos val="nextTo"/>
        <c:crossAx val="97521024"/>
        <c:crossesAt val="0"/>
        <c:auto val="1"/>
        <c:lblAlgn val="ctr"/>
        <c:lblOffset val="100"/>
        <c:tickMarkSkip val="3"/>
        <c:noMultiLvlLbl val="0"/>
      </c:catAx>
      <c:valAx>
        <c:axId val="97521024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7519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Calculation'!$K$153:$K$182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Calculation'!$N$153:$N$182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528448"/>
        <c:axId val="97550720"/>
      </c:scatterChart>
      <c:valAx>
        <c:axId val="97528448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7550720"/>
        <c:crosses val="autoZero"/>
        <c:crossBetween val="midCat"/>
        <c:majorUnit val="3"/>
      </c:valAx>
      <c:valAx>
        <c:axId val="97550720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752844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Calculation'!$D$153:$D$182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7578368"/>
        <c:axId val="97580160"/>
      </c:barChart>
      <c:catAx>
        <c:axId val="97578368"/>
        <c:scaling>
          <c:orientation val="minMax"/>
        </c:scaling>
        <c:delete val="0"/>
        <c:axPos val="b"/>
        <c:majorTickMark val="out"/>
        <c:minorTickMark val="none"/>
        <c:tickLblPos val="nextTo"/>
        <c:crossAx val="97580160"/>
        <c:crossesAt val="0"/>
        <c:auto val="1"/>
        <c:lblAlgn val="ctr"/>
        <c:lblOffset val="100"/>
        <c:tickMarkSkip val="3"/>
        <c:noMultiLvlLbl val="0"/>
      </c:catAx>
      <c:valAx>
        <c:axId val="97580160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7578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Calculation'!$K$183:$K$212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Calculation'!$N$183:$N$212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66816"/>
        <c:axId val="98068352"/>
      </c:scatterChart>
      <c:valAx>
        <c:axId val="98066816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8068352"/>
        <c:crosses val="autoZero"/>
        <c:crossBetween val="midCat"/>
        <c:majorUnit val="3"/>
      </c:valAx>
      <c:valAx>
        <c:axId val="98068352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80668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Calculation'!$D$183:$D$212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8083968"/>
        <c:axId val="98085504"/>
      </c:barChart>
      <c:catAx>
        <c:axId val="98083968"/>
        <c:scaling>
          <c:orientation val="minMax"/>
        </c:scaling>
        <c:delete val="0"/>
        <c:axPos val="b"/>
        <c:majorTickMark val="out"/>
        <c:minorTickMark val="none"/>
        <c:tickLblPos val="nextTo"/>
        <c:crossAx val="98085504"/>
        <c:crossesAt val="0"/>
        <c:auto val="1"/>
        <c:lblAlgn val="ctr"/>
        <c:lblOffset val="100"/>
        <c:tickMarkSkip val="3"/>
        <c:noMultiLvlLbl val="0"/>
      </c:catAx>
      <c:valAx>
        <c:axId val="98085504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8083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Calculation'!$K$213:$K$242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Calculation'!$N$213:$N$242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92928"/>
        <c:axId val="98094464"/>
      </c:scatterChart>
      <c:valAx>
        <c:axId val="98092928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8094464"/>
        <c:crosses val="autoZero"/>
        <c:crossBetween val="midCat"/>
        <c:majorUnit val="3"/>
      </c:valAx>
      <c:valAx>
        <c:axId val="98094464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809292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Calculation'!$D$213:$D$242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8155136"/>
        <c:axId val="98156928"/>
      </c:barChart>
      <c:catAx>
        <c:axId val="98155136"/>
        <c:scaling>
          <c:orientation val="minMax"/>
        </c:scaling>
        <c:delete val="0"/>
        <c:axPos val="b"/>
        <c:majorTickMark val="out"/>
        <c:minorTickMark val="none"/>
        <c:tickLblPos val="nextTo"/>
        <c:crossAx val="98156928"/>
        <c:crossesAt val="0"/>
        <c:auto val="1"/>
        <c:lblAlgn val="ctr"/>
        <c:lblOffset val="100"/>
        <c:tickMarkSkip val="3"/>
        <c:noMultiLvlLbl val="0"/>
      </c:catAx>
      <c:valAx>
        <c:axId val="98156928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8155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Calculation'!$K$243:$K$272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Calculation'!$N$243:$N$272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164096"/>
        <c:axId val="98174080"/>
      </c:scatterChart>
      <c:valAx>
        <c:axId val="98164096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8174080"/>
        <c:crosses val="autoZero"/>
        <c:crossBetween val="midCat"/>
        <c:majorUnit val="3"/>
      </c:valAx>
      <c:valAx>
        <c:axId val="98174080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816409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Calculation'!$D$243:$D$272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8185600"/>
        <c:axId val="98187136"/>
      </c:barChart>
      <c:catAx>
        <c:axId val="98185600"/>
        <c:scaling>
          <c:orientation val="minMax"/>
        </c:scaling>
        <c:delete val="0"/>
        <c:axPos val="b"/>
        <c:majorTickMark val="out"/>
        <c:minorTickMark val="none"/>
        <c:tickLblPos val="nextTo"/>
        <c:crossAx val="98187136"/>
        <c:crossesAt val="0"/>
        <c:auto val="1"/>
        <c:lblAlgn val="ctr"/>
        <c:lblOffset val="100"/>
        <c:tickMarkSkip val="3"/>
        <c:noMultiLvlLbl val="0"/>
      </c:catAx>
      <c:valAx>
        <c:axId val="98187136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8185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Calculation'!$K$273:$K$302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Calculation'!$N$273:$N$302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23232"/>
        <c:axId val="98224768"/>
      </c:scatterChart>
      <c:valAx>
        <c:axId val="98223232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8224768"/>
        <c:crosses val="autoZero"/>
        <c:crossBetween val="midCat"/>
        <c:majorUnit val="3"/>
      </c:valAx>
      <c:valAx>
        <c:axId val="98224768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8223232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Calculation'!$D$273:$D$302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7924992"/>
        <c:axId val="97926528"/>
      </c:barChart>
      <c:catAx>
        <c:axId val="97924992"/>
        <c:scaling>
          <c:orientation val="minMax"/>
        </c:scaling>
        <c:delete val="0"/>
        <c:axPos val="b"/>
        <c:majorTickMark val="out"/>
        <c:minorTickMark val="none"/>
        <c:tickLblPos val="nextTo"/>
        <c:crossAx val="97926528"/>
        <c:crossesAt val="0"/>
        <c:auto val="1"/>
        <c:lblAlgn val="ctr"/>
        <c:lblOffset val="100"/>
        <c:tickMarkSkip val="3"/>
        <c:noMultiLvlLbl val="0"/>
      </c:catAx>
      <c:valAx>
        <c:axId val="97926528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7924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Calculation'!$K$303:$K$332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Calculation'!$N$303:$N$332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42528"/>
        <c:axId val="97948416"/>
      </c:scatterChart>
      <c:valAx>
        <c:axId val="97942528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7948416"/>
        <c:crosses val="autoZero"/>
        <c:crossBetween val="midCat"/>
        <c:majorUnit val="3"/>
      </c:valAx>
      <c:valAx>
        <c:axId val="97948416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794252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Calculation'!$D$303:$D$332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7980416"/>
        <c:axId val="97981952"/>
      </c:barChart>
      <c:catAx>
        <c:axId val="97980416"/>
        <c:scaling>
          <c:orientation val="minMax"/>
        </c:scaling>
        <c:delete val="0"/>
        <c:axPos val="b"/>
        <c:majorTickMark val="out"/>
        <c:minorTickMark val="none"/>
        <c:tickLblPos val="nextTo"/>
        <c:crossAx val="97981952"/>
        <c:crossesAt val="0"/>
        <c:auto val="1"/>
        <c:lblAlgn val="ctr"/>
        <c:lblOffset val="100"/>
        <c:tickMarkSkip val="3"/>
        <c:noMultiLvlLbl val="0"/>
      </c:catAx>
      <c:valAx>
        <c:axId val="97981952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7980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Calculation'!$K$333:$K$362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Calculation'!$N$333:$N$362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05760"/>
        <c:axId val="98007296"/>
      </c:scatterChart>
      <c:valAx>
        <c:axId val="98005760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8007296"/>
        <c:crosses val="autoZero"/>
        <c:crossBetween val="midCat"/>
        <c:majorUnit val="3"/>
      </c:valAx>
      <c:valAx>
        <c:axId val="98007296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8005760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Calculation'!$D$333:$D$362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8018816"/>
        <c:axId val="98020352"/>
      </c:barChart>
      <c:catAx>
        <c:axId val="98018816"/>
        <c:scaling>
          <c:orientation val="minMax"/>
        </c:scaling>
        <c:delete val="0"/>
        <c:axPos val="b"/>
        <c:majorTickMark val="out"/>
        <c:minorTickMark val="none"/>
        <c:tickLblPos val="nextTo"/>
        <c:crossAx val="98020352"/>
        <c:crossesAt val="0"/>
        <c:auto val="1"/>
        <c:lblAlgn val="ctr"/>
        <c:lblOffset val="100"/>
        <c:tickMarkSkip val="3"/>
        <c:noMultiLvlLbl val="0"/>
      </c:catAx>
      <c:valAx>
        <c:axId val="98020352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8018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Calculation'!$K$363:$K$392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Calculation'!$N$363:$N$392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85152"/>
        <c:axId val="98786688"/>
      </c:scatterChart>
      <c:valAx>
        <c:axId val="98785152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8786688"/>
        <c:crosses val="autoZero"/>
        <c:crossBetween val="midCat"/>
        <c:majorUnit val="3"/>
      </c:valAx>
      <c:valAx>
        <c:axId val="98786688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8785152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Calculation'!$D$363:$D$392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8794496"/>
        <c:axId val="98816768"/>
      </c:barChart>
      <c:catAx>
        <c:axId val="98794496"/>
        <c:scaling>
          <c:orientation val="minMax"/>
        </c:scaling>
        <c:delete val="0"/>
        <c:axPos val="b"/>
        <c:majorTickMark val="out"/>
        <c:minorTickMark val="none"/>
        <c:tickLblPos val="nextTo"/>
        <c:crossAx val="98816768"/>
        <c:crossesAt val="0"/>
        <c:auto val="1"/>
        <c:lblAlgn val="ctr"/>
        <c:lblOffset val="100"/>
        <c:tickMarkSkip val="3"/>
        <c:noMultiLvlLbl val="0"/>
      </c:catAx>
      <c:valAx>
        <c:axId val="98816768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8794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Calculation'!$K$393:$K$422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Calculation'!$N$393:$N$422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28288"/>
        <c:axId val="98829824"/>
      </c:scatterChart>
      <c:valAx>
        <c:axId val="98828288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8829824"/>
        <c:crosses val="autoZero"/>
        <c:crossBetween val="midCat"/>
        <c:majorUnit val="3"/>
      </c:valAx>
      <c:valAx>
        <c:axId val="98829824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882828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Calculation'!$D$393:$D$422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8862208"/>
        <c:axId val="98863744"/>
      </c:barChart>
      <c:catAx>
        <c:axId val="98862208"/>
        <c:scaling>
          <c:orientation val="minMax"/>
        </c:scaling>
        <c:delete val="0"/>
        <c:axPos val="b"/>
        <c:majorTickMark val="out"/>
        <c:minorTickMark val="none"/>
        <c:tickLblPos val="nextTo"/>
        <c:crossAx val="98863744"/>
        <c:crossesAt val="0"/>
        <c:auto val="1"/>
        <c:lblAlgn val="ctr"/>
        <c:lblOffset val="100"/>
        <c:tickMarkSkip val="3"/>
        <c:noMultiLvlLbl val="0"/>
      </c:catAx>
      <c:valAx>
        <c:axId val="98863744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886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Calculation'!$K$423:$K$452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Calculation'!$N$423:$N$452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91648"/>
        <c:axId val="98893184"/>
      </c:scatterChart>
      <c:valAx>
        <c:axId val="98891648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8893184"/>
        <c:crosses val="autoZero"/>
        <c:crossBetween val="midCat"/>
        <c:majorUnit val="3"/>
      </c:valAx>
      <c:valAx>
        <c:axId val="98893184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889164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Calculation'!$D$423:$D$452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8597504"/>
        <c:axId val="98599296"/>
      </c:barChart>
      <c:catAx>
        <c:axId val="98597504"/>
        <c:scaling>
          <c:orientation val="minMax"/>
        </c:scaling>
        <c:delete val="0"/>
        <c:axPos val="b"/>
        <c:majorTickMark val="out"/>
        <c:minorTickMark val="none"/>
        <c:tickLblPos val="nextTo"/>
        <c:crossAx val="98599296"/>
        <c:crossesAt val="0"/>
        <c:auto val="1"/>
        <c:lblAlgn val="ctr"/>
        <c:lblOffset val="100"/>
        <c:tickMarkSkip val="3"/>
        <c:noMultiLvlLbl val="0"/>
      </c:catAx>
      <c:valAx>
        <c:axId val="98599296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8597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Calculation'!$K$453:$K$482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Calculation'!$N$453:$N$482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14656"/>
        <c:axId val="98624640"/>
      </c:scatterChart>
      <c:valAx>
        <c:axId val="98614656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8624640"/>
        <c:crosses val="autoZero"/>
        <c:crossBetween val="midCat"/>
        <c:majorUnit val="3"/>
      </c:valAx>
      <c:valAx>
        <c:axId val="98624640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861465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Calculation'!$D$453:$D$482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8660736"/>
        <c:axId val="98662272"/>
      </c:barChart>
      <c:catAx>
        <c:axId val="98660736"/>
        <c:scaling>
          <c:orientation val="minMax"/>
        </c:scaling>
        <c:delete val="0"/>
        <c:axPos val="b"/>
        <c:majorTickMark val="out"/>
        <c:minorTickMark val="none"/>
        <c:tickLblPos val="nextTo"/>
        <c:crossAx val="98662272"/>
        <c:crossesAt val="0"/>
        <c:auto val="1"/>
        <c:lblAlgn val="ctr"/>
        <c:lblOffset val="100"/>
        <c:tickMarkSkip val="3"/>
        <c:noMultiLvlLbl val="0"/>
      </c:catAx>
      <c:valAx>
        <c:axId val="98662272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8660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Calculation'!$K$483:$K$512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Calculation'!$N$483:$N$512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86080"/>
        <c:axId val="98687616"/>
      </c:scatterChart>
      <c:valAx>
        <c:axId val="98686080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8687616"/>
        <c:crosses val="autoZero"/>
        <c:crossBetween val="midCat"/>
        <c:majorUnit val="3"/>
      </c:valAx>
      <c:valAx>
        <c:axId val="98687616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8686080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Calculation'!$D$483:$D$512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9170176"/>
        <c:axId val="99171712"/>
      </c:barChart>
      <c:catAx>
        <c:axId val="99170176"/>
        <c:scaling>
          <c:orientation val="minMax"/>
        </c:scaling>
        <c:delete val="0"/>
        <c:axPos val="b"/>
        <c:majorTickMark val="out"/>
        <c:minorTickMark val="none"/>
        <c:tickLblPos val="nextTo"/>
        <c:crossAx val="99171712"/>
        <c:crossesAt val="0"/>
        <c:auto val="1"/>
        <c:lblAlgn val="ctr"/>
        <c:lblOffset val="100"/>
        <c:tickMarkSkip val="3"/>
        <c:noMultiLvlLbl val="0"/>
      </c:catAx>
      <c:valAx>
        <c:axId val="99171712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9170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Calculation'!$K$513:$K$542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Calculation'!$N$513:$N$542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83232"/>
        <c:axId val="99197312"/>
      </c:scatterChart>
      <c:valAx>
        <c:axId val="99183232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9197312"/>
        <c:crosses val="autoZero"/>
        <c:crossBetween val="midCat"/>
        <c:majorUnit val="3"/>
      </c:valAx>
      <c:valAx>
        <c:axId val="99197312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9183232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Calculation'!$D$513:$D$542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9212672"/>
        <c:axId val="99226752"/>
      </c:barChart>
      <c:catAx>
        <c:axId val="99212672"/>
        <c:scaling>
          <c:orientation val="minMax"/>
        </c:scaling>
        <c:delete val="0"/>
        <c:axPos val="b"/>
        <c:majorTickMark val="out"/>
        <c:minorTickMark val="none"/>
        <c:tickLblPos val="nextTo"/>
        <c:crossAx val="99226752"/>
        <c:crossesAt val="0"/>
        <c:auto val="1"/>
        <c:lblAlgn val="ctr"/>
        <c:lblOffset val="100"/>
        <c:tickMarkSkip val="3"/>
        <c:noMultiLvlLbl val="0"/>
      </c:catAx>
      <c:valAx>
        <c:axId val="99226752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9212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Calculation'!$K$543:$K$572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Calculation'!$N$543:$N$572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55040"/>
        <c:axId val="99256576"/>
      </c:scatterChart>
      <c:valAx>
        <c:axId val="99255040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9256576"/>
        <c:crosses val="autoZero"/>
        <c:crossBetween val="midCat"/>
        <c:majorUnit val="3"/>
      </c:valAx>
      <c:valAx>
        <c:axId val="99256576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9255040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'Section III Length Calculation'!$D$543:$D$572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9284480"/>
        <c:axId val="99286016"/>
      </c:barChart>
      <c:catAx>
        <c:axId val="99284480"/>
        <c:scaling>
          <c:orientation val="minMax"/>
        </c:scaling>
        <c:delete val="0"/>
        <c:axPos val="b"/>
        <c:majorTickMark val="out"/>
        <c:minorTickMark val="none"/>
        <c:tickLblPos val="nextTo"/>
        <c:crossAx val="99286016"/>
        <c:crossesAt val="0"/>
        <c:auto val="1"/>
        <c:lblAlgn val="ctr"/>
        <c:lblOffset val="100"/>
        <c:tickMarkSkip val="3"/>
        <c:noMultiLvlLbl val="0"/>
      </c:catAx>
      <c:valAx>
        <c:axId val="99286016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9284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'Section III Length Calculation'!$H$3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'Section III Length Calculation'!$K$573:$K$602</c:f>
              <c:numCache>
                <c:formatCode>0.0</c:formatCode>
                <c:ptCount val="30"/>
              </c:numCache>
            </c:numRef>
          </c:xVal>
          <c:yVal>
            <c:numRef>
              <c:f>'Section III Length Calculation'!$N$573:$N$602</c:f>
              <c:numCache>
                <c:formatCode>0.00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87360"/>
        <c:axId val="99889152"/>
      </c:scatterChart>
      <c:valAx>
        <c:axId val="99887360"/>
        <c:scaling>
          <c:orientation val="minMax"/>
          <c:max val="15"/>
        </c:scaling>
        <c:delete val="0"/>
        <c:axPos val="b"/>
        <c:numFmt formatCode="General" sourceLinked="0"/>
        <c:majorTickMark val="out"/>
        <c:minorTickMark val="none"/>
        <c:tickLblPos val="nextTo"/>
        <c:crossAx val="99889152"/>
        <c:crosses val="autoZero"/>
        <c:crossBetween val="midCat"/>
        <c:majorUnit val="3"/>
      </c:valAx>
      <c:valAx>
        <c:axId val="99889152"/>
        <c:scaling>
          <c:orientation val="minMax"/>
          <c:max val="1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9887360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6019192913385819"/>
          <c:y val="7.6388888888888895E-2"/>
          <c:w val="0.78882185039370123"/>
          <c:h val="0.771242891513561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'Section III Length Calculation'!$D$573</c:f>
              <c:strCache>
                <c:ptCount val="1"/>
              </c:strCache>
            </c:strRef>
          </c:tx>
          <c:invertIfNegative val="0"/>
          <c:val>
            <c:numRef>
              <c:f>'Section III Length Calculation'!$D$574:$D$602</c:f>
              <c:numCache>
                <c:formatCode>General</c:formatCode>
                <c:ptCount val="29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99900416"/>
        <c:axId val="99918592"/>
      </c:barChart>
      <c:catAx>
        <c:axId val="99900416"/>
        <c:scaling>
          <c:orientation val="minMax"/>
        </c:scaling>
        <c:delete val="0"/>
        <c:axPos val="b"/>
        <c:majorTickMark val="out"/>
        <c:minorTickMark val="none"/>
        <c:tickLblPos val="nextTo"/>
        <c:crossAx val="99918592"/>
        <c:crossesAt val="0"/>
        <c:auto val="1"/>
        <c:lblAlgn val="ctr"/>
        <c:lblOffset val="100"/>
        <c:tickMarkSkip val="3"/>
        <c:noMultiLvlLbl val="0"/>
      </c:catAx>
      <c:valAx>
        <c:axId val="99918592"/>
        <c:scaling>
          <c:orientation val="minMax"/>
          <c:min val="0"/>
        </c:scaling>
        <c:delete val="0"/>
        <c:axPos val="l"/>
        <c:majorGridlines/>
        <c:numFmt formatCode="0.E+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9900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Telomere length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'Section IV Result'!$B$3:$C$22</c:f>
            </c:multiLvlStrRef>
          </c:cat>
          <c:val>
            <c:numRef>
              <c:f>'Section IV Result'!$D$3:$D$22</c:f>
              <c:numCache>
                <c:formatCode>0.0</c:formatCode>
                <c:ptCount val="2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00279424"/>
        <c:axId val="100280960"/>
      </c:barChart>
      <c:catAx>
        <c:axId val="10027942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00280960"/>
        <c:crosses val="autoZero"/>
        <c:auto val="1"/>
        <c:lblAlgn val="ctr"/>
        <c:lblOffset val="100"/>
        <c:noMultiLvlLbl val="0"/>
      </c:catAx>
      <c:valAx>
        <c:axId val="100280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/>
                </a:pPr>
                <a:r>
                  <a:rPr lang="en-US" sz="1100" b="0"/>
                  <a:t>Length (kb)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100279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AEBE891-AC1B-49FD-85A2-D85C13E08F10}" type="doc">
      <dgm:prSet loTypeId="urn:microsoft.com/office/officeart/2005/8/layout/hProcess9" loCatId="process" qsTypeId="urn:microsoft.com/office/officeart/2005/8/quickstyle/simple3" qsCatId="simple" csTypeId="urn:microsoft.com/office/officeart/2005/8/colors/accent1_2" csCatId="accent1" phldr="1"/>
      <dgm:spPr/>
    </dgm:pt>
    <dgm:pt modelId="{901D2116-2B80-453B-970F-35DE10740746}">
      <dgm:prSet phldrT="[Text]"/>
      <dgm:spPr/>
      <dgm:t>
        <a:bodyPr/>
        <a:lstStyle/>
        <a:p>
          <a:r>
            <a:rPr lang="en-US"/>
            <a:t>Adjust Individual Box Volumes to Achieve a Smooth Distribution</a:t>
          </a:r>
        </a:p>
      </dgm:t>
    </dgm:pt>
    <dgm:pt modelId="{4390BC6D-9DA8-4054-8FD9-30511FE40B42}" type="sibTrans" cxnId="{D72F27A2-68E5-47A5-92B5-E1F72423D555}">
      <dgm:prSet/>
      <dgm:spPr/>
      <dgm:t>
        <a:bodyPr/>
        <a:lstStyle/>
        <a:p>
          <a:endParaRPr lang="en-US"/>
        </a:p>
      </dgm:t>
    </dgm:pt>
    <dgm:pt modelId="{DFBA9BC1-6B29-4533-840F-161E150E112C}" type="parTrans" cxnId="{D72F27A2-68E5-47A5-92B5-E1F72423D555}">
      <dgm:prSet/>
      <dgm:spPr/>
      <dgm:t>
        <a:bodyPr/>
        <a:lstStyle/>
        <a:p>
          <a:endParaRPr lang="en-US"/>
        </a:p>
      </dgm:t>
    </dgm:pt>
    <dgm:pt modelId="{3B469C22-D79F-43CB-8B3A-BF47E55935FC}" type="pres">
      <dgm:prSet presAssocID="{1AEBE891-AC1B-49FD-85A2-D85C13E08F10}" presName="CompostProcess" presStyleCnt="0">
        <dgm:presLayoutVars>
          <dgm:dir/>
          <dgm:resizeHandles val="exact"/>
        </dgm:presLayoutVars>
      </dgm:prSet>
      <dgm:spPr/>
    </dgm:pt>
    <dgm:pt modelId="{C2DDCA80-733F-490E-8610-86AAB6458405}" type="pres">
      <dgm:prSet presAssocID="{1AEBE891-AC1B-49FD-85A2-D85C13E08F10}" presName="arrow" presStyleLbl="bgShp" presStyleIdx="0" presStyleCnt="1"/>
      <dgm:spPr/>
      <dgm:t>
        <a:bodyPr/>
        <a:lstStyle/>
        <a:p>
          <a:endParaRPr lang="en-US"/>
        </a:p>
      </dgm:t>
    </dgm:pt>
    <dgm:pt modelId="{D1885FA7-E713-4D07-9FCB-DCE73187A37A}" type="pres">
      <dgm:prSet presAssocID="{1AEBE891-AC1B-49FD-85A2-D85C13E08F10}" presName="linearProcess" presStyleCnt="0"/>
      <dgm:spPr/>
    </dgm:pt>
    <dgm:pt modelId="{A8716EE6-8EEE-4F56-9333-2AB397722400}" type="pres">
      <dgm:prSet presAssocID="{901D2116-2B80-453B-970F-35DE10740746}" presName="textNode" presStyleLbl="node1" presStyleIdx="0" presStyleCnt="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CF95F7C2-EC68-45E7-BBC5-2F89153B78AA}" type="presOf" srcId="{1AEBE891-AC1B-49FD-85A2-D85C13E08F10}" destId="{3B469C22-D79F-43CB-8B3A-BF47E55935FC}" srcOrd="0" destOrd="0" presId="urn:microsoft.com/office/officeart/2005/8/layout/hProcess9"/>
    <dgm:cxn modelId="{D72F27A2-68E5-47A5-92B5-E1F72423D555}" srcId="{1AEBE891-AC1B-49FD-85A2-D85C13E08F10}" destId="{901D2116-2B80-453B-970F-35DE10740746}" srcOrd="0" destOrd="0" parTransId="{DFBA9BC1-6B29-4533-840F-161E150E112C}" sibTransId="{4390BC6D-9DA8-4054-8FD9-30511FE40B42}"/>
    <dgm:cxn modelId="{BCE4FF70-EC1B-4886-859F-91BC9197C265}" type="presOf" srcId="{901D2116-2B80-453B-970F-35DE10740746}" destId="{A8716EE6-8EEE-4F56-9333-2AB397722400}" srcOrd="0" destOrd="0" presId="urn:microsoft.com/office/officeart/2005/8/layout/hProcess9"/>
    <dgm:cxn modelId="{01B81628-4635-4E10-A9DD-97374EBB9315}" type="presParOf" srcId="{3B469C22-D79F-43CB-8B3A-BF47E55935FC}" destId="{C2DDCA80-733F-490E-8610-86AAB6458405}" srcOrd="0" destOrd="0" presId="urn:microsoft.com/office/officeart/2005/8/layout/hProcess9"/>
    <dgm:cxn modelId="{7968BE3B-59E7-45F9-9824-70626CAB2DCF}" type="presParOf" srcId="{3B469C22-D79F-43CB-8B3A-BF47E55935FC}" destId="{D1885FA7-E713-4D07-9FCB-DCE73187A37A}" srcOrd="1" destOrd="0" presId="urn:microsoft.com/office/officeart/2005/8/layout/hProcess9"/>
    <dgm:cxn modelId="{95D04045-BAEE-4D67-A650-F3D99A93EFDD}" type="presParOf" srcId="{D1885FA7-E713-4D07-9FCB-DCE73187A37A}" destId="{A8716EE6-8EEE-4F56-9333-2AB397722400}" srcOrd="0" destOrd="0" presId="urn:microsoft.com/office/officeart/2005/8/layout/hProcess9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Process9">
  <dgm:title val=""/>
  <dgm:desc val=""/>
  <dgm:catLst>
    <dgm:cat type="process" pri="5000"/>
    <dgm:cat type="convert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CompostProcess">
    <dgm:varLst>
      <dgm:dir/>
      <dgm:resizeHandles val="exact"/>
    </dgm:varLst>
    <dgm:alg type="composite">
      <dgm:param type="horzAlign" val="ctr"/>
      <dgm:param type="vertAlign" val="mid"/>
    </dgm:alg>
    <dgm:shape xmlns:r="http://schemas.openxmlformats.org/officeDocument/2006/relationships" r:blip="">
      <dgm:adjLst/>
    </dgm:shape>
    <dgm:presOf/>
    <dgm:constrLst>
      <dgm:constr type="w" for="ch" forName="arrow" refType="w" fact="0.85"/>
      <dgm:constr type="h" for="ch" forName="arrow" refType="h"/>
      <dgm:constr type="ctrX" for="ch" forName="arrow" refType="w" fact="0.5"/>
      <dgm:constr type="ctrY" for="ch" forName="arrow" refType="h" fact="0.5"/>
      <dgm:constr type="w" for="ch" forName="linearProcess" refType="w"/>
      <dgm:constr type="h" for="ch" forName="linearProcess" refType="h" fact="0.4"/>
      <dgm:constr type="ctrX" for="ch" forName="linearProcess" refType="w" fact="0.5"/>
      <dgm:constr type="ctrY" for="ch" forName="linearProcess" refType="h" fact="0.5"/>
    </dgm:constrLst>
    <dgm:ruleLst/>
    <dgm:layoutNode name="arrow" styleLbl="bgShp">
      <dgm:alg type="sp"/>
      <dgm:choose name="Name0">
        <dgm:if name="Name1" func="var" arg="dir" op="equ" val="norm">
          <dgm:shape xmlns:r="http://schemas.openxmlformats.org/officeDocument/2006/relationships" type="rightArrow" r:blip="">
            <dgm:adjLst/>
          </dgm:shape>
        </dgm:if>
        <dgm:else name="Name2">
          <dgm:shape xmlns:r="http://schemas.openxmlformats.org/officeDocument/2006/relationships" type="leftArrow" r:blip="">
            <dgm:adjLst/>
          </dgm:shape>
        </dgm:else>
      </dgm:choose>
      <dgm:presOf/>
      <dgm:constrLst/>
      <dgm:ruleLst/>
    </dgm:layoutNode>
    <dgm:layoutNode name="linearProcess">
      <dgm:choose name="Name3">
        <dgm:if name="Name4" func="var" arg="dir" op="equ" val="norm">
          <dgm:alg type="lin"/>
        </dgm:if>
        <dgm:else name="Name5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userA" for="ch" ptType="node" refType="w"/>
        <dgm:constr type="h" for="ch" ptType="node" refType="h"/>
        <dgm:constr type="w" for="ch" ptType="node" op="equ"/>
        <dgm:constr type="w" for="ch" forName="sibTrans" refType="w" fact="0.05"/>
        <dgm:constr type="primFontSz" for="ch" ptType="node" op="equ" val="65"/>
      </dgm:constrLst>
      <dgm:ruleLst/>
      <dgm:forEach name="Name6" axis="ch" ptType="node">
        <dgm:layoutNode name="textNode" styleLbl="node1">
          <dgm:varLst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desOrSelf" ptType="node"/>
          <dgm:constrLst>
            <dgm:constr type="userA"/>
            <dgm:constr type="w" refType="userA" fact="0.3"/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w" val="NaN" fact="1" max="NaN"/>
            <dgm:rule type="primFontSz" val="5" fact="NaN" max="NaN"/>
          </dgm:ruleLst>
        </dgm:layoutNode>
        <dgm:forEach name="Name7" axis="followSib" ptType="sibTrans" cnt="1">
          <dgm:layoutNode name="sibTrans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3">
  <dgm:title val=""/>
  <dgm:desc val=""/>
  <dgm:catLst>
    <dgm:cat type="simple" pri="103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lnNode1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dk1"/>
      </a:fontRef>
    </dgm:style>
  </dgm:styleLbl>
  <dgm:styleLbl name="venn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26" Type="http://schemas.openxmlformats.org/officeDocument/2006/relationships/chart" Target="../charts/chart29.xml"/><Relationship Id="rId39" Type="http://schemas.openxmlformats.org/officeDocument/2006/relationships/chart" Target="../charts/chart42.xml"/><Relationship Id="rId3" Type="http://schemas.openxmlformats.org/officeDocument/2006/relationships/chart" Target="../charts/chart6.xml"/><Relationship Id="rId21" Type="http://schemas.openxmlformats.org/officeDocument/2006/relationships/chart" Target="../charts/chart24.xml"/><Relationship Id="rId34" Type="http://schemas.openxmlformats.org/officeDocument/2006/relationships/chart" Target="../charts/chart37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0" Type="http://schemas.openxmlformats.org/officeDocument/2006/relationships/chart" Target="../charts/chart23.xml"/><Relationship Id="rId29" Type="http://schemas.openxmlformats.org/officeDocument/2006/relationships/chart" Target="../charts/chart32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10" Type="http://schemas.openxmlformats.org/officeDocument/2006/relationships/chart" Target="../charts/chart13.xml"/><Relationship Id="rId19" Type="http://schemas.openxmlformats.org/officeDocument/2006/relationships/chart" Target="../charts/chart22.xml"/><Relationship Id="rId31" Type="http://schemas.openxmlformats.org/officeDocument/2006/relationships/chart" Target="../charts/chart34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2" Type="http://schemas.openxmlformats.org/officeDocument/2006/relationships/diagramData" Target="../diagrams/data1.xml"/><Relationship Id="rId1" Type="http://schemas.openxmlformats.org/officeDocument/2006/relationships/chart" Target="../charts/chart44.xml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167640</xdr:colOff>
      <xdr:row>2</xdr:row>
      <xdr:rowOff>121920</xdr:rowOff>
    </xdr:from>
    <xdr:to>
      <xdr:col>3</xdr:col>
      <xdr:colOff>556260</xdr:colOff>
      <xdr:row>9</xdr:row>
      <xdr:rowOff>152400</xdr:rowOff>
    </xdr:to>
    <xdr:sp macro="" textlink="">
      <xdr:nvSpPr>
        <xdr:cNvPr id="5" name="Right Arrow Callout 4"/>
        <xdr:cNvSpPr/>
      </xdr:nvSpPr>
      <xdr:spPr>
        <a:xfrm>
          <a:off x="167640" y="487680"/>
          <a:ext cx="2217420" cy="1310640"/>
        </a:xfrm>
        <a:prstGeom prst="rightArrowCallout">
          <a:avLst>
            <a:gd name="adj1" fmla="val 26163"/>
            <a:gd name="adj2" fmla="val 25000"/>
            <a:gd name="adj3" fmla="val 20178"/>
            <a:gd name="adj4" fmla="val 81523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tx1"/>
              </a:solidFill>
              <a:effectLst/>
            </a:rPr>
            <a:t>Step One</a:t>
          </a:r>
        </a:p>
        <a:p>
          <a:pPr algn="ctr"/>
          <a:r>
            <a:rPr lang="en-US" sz="1600" b="0" cap="none" spc="0">
              <a:ln>
                <a:noFill/>
              </a:ln>
              <a:solidFill>
                <a:schemeClr val="tx1"/>
              </a:solidFill>
              <a:effectLst/>
            </a:rPr>
            <a:t>Enter</a:t>
          </a:r>
          <a:r>
            <a:rPr lang="en-US" sz="16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the ladder size and position with no blank lines.</a:t>
          </a:r>
          <a:endParaRPr lang="en-US" sz="16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twoCellAnchor>
  <xdr:oneCellAnchor>
    <xdr:from>
      <xdr:col>2</xdr:col>
      <xdr:colOff>327660</xdr:colOff>
      <xdr:row>0</xdr:row>
      <xdr:rowOff>0</xdr:rowOff>
    </xdr:from>
    <xdr:ext cx="542071" cy="937629"/>
    <xdr:sp macro="" textlink="">
      <xdr:nvSpPr>
        <xdr:cNvPr id="7" name="Rectangle 6"/>
        <xdr:cNvSpPr/>
      </xdr:nvSpPr>
      <xdr:spPr>
        <a:xfrm>
          <a:off x="1546860" y="0"/>
          <a:ext cx="54207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1</a:t>
          </a:r>
        </a:p>
      </xdr:txBody>
    </xdr:sp>
    <xdr:clientData/>
  </xdr:oneCellAnchor>
  <xdr:twoCellAnchor>
    <xdr:from>
      <xdr:col>6</xdr:col>
      <xdr:colOff>144780</xdr:colOff>
      <xdr:row>2</xdr:row>
      <xdr:rowOff>121920</xdr:rowOff>
    </xdr:from>
    <xdr:to>
      <xdr:col>9</xdr:col>
      <xdr:colOff>449580</xdr:colOff>
      <xdr:row>9</xdr:row>
      <xdr:rowOff>144780</xdr:rowOff>
    </xdr:to>
    <xdr:sp macro="" textlink="">
      <xdr:nvSpPr>
        <xdr:cNvPr id="13" name="Right Arrow Callout 12"/>
        <xdr:cNvSpPr/>
      </xdr:nvSpPr>
      <xdr:spPr>
        <a:xfrm>
          <a:off x="4114800" y="487680"/>
          <a:ext cx="2133600" cy="1303020"/>
        </a:xfrm>
        <a:prstGeom prst="rightArrowCallout">
          <a:avLst>
            <a:gd name="adj1" fmla="val 25000"/>
            <a:gd name="adj2" fmla="val 25000"/>
            <a:gd name="adj3" fmla="val 18204"/>
            <a:gd name="adj4" fmla="val 79118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Two</a:t>
          </a:r>
          <a:endParaRPr lang="en-US" sz="1600" b="1">
            <a:effectLst/>
          </a:endParaRPr>
        </a:p>
        <a:p>
          <a:pPr algn="ctr"/>
          <a:r>
            <a:rPr lang="en-US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Paste</a:t>
          </a:r>
          <a:r>
            <a:rPr lang="en-US" sz="16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volume data here.</a:t>
          </a:r>
          <a:endParaRPr lang="en-US" sz="1600">
            <a:effectLst/>
          </a:endParaRPr>
        </a:p>
      </xdr:txBody>
    </xdr:sp>
    <xdr:clientData/>
  </xdr:twoCellAnchor>
  <xdr:oneCellAnchor>
    <xdr:from>
      <xdr:col>8</xdr:col>
      <xdr:colOff>365234</xdr:colOff>
      <xdr:row>0</xdr:row>
      <xdr:rowOff>0</xdr:rowOff>
    </xdr:from>
    <xdr:ext cx="542071" cy="937629"/>
    <xdr:sp macro="" textlink="">
      <xdr:nvSpPr>
        <xdr:cNvPr id="14" name="Rectangle 13"/>
        <xdr:cNvSpPr/>
      </xdr:nvSpPr>
      <xdr:spPr>
        <a:xfrm>
          <a:off x="5554454" y="0"/>
          <a:ext cx="54207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2</a:t>
          </a:r>
        </a:p>
      </xdr:txBody>
    </xdr:sp>
    <xdr:clientData/>
  </xdr:oneCellAnchor>
  <xdr:twoCellAnchor>
    <xdr:from>
      <xdr:col>11</xdr:col>
      <xdr:colOff>160020</xdr:colOff>
      <xdr:row>2</xdr:row>
      <xdr:rowOff>121920</xdr:rowOff>
    </xdr:from>
    <xdr:to>
      <xdr:col>14</xdr:col>
      <xdr:colOff>464820</xdr:colOff>
      <xdr:row>9</xdr:row>
      <xdr:rowOff>144780</xdr:rowOff>
    </xdr:to>
    <xdr:sp macro="" textlink="">
      <xdr:nvSpPr>
        <xdr:cNvPr id="15" name="Right Arrow Callout 14"/>
        <xdr:cNvSpPr/>
      </xdr:nvSpPr>
      <xdr:spPr>
        <a:xfrm>
          <a:off x="7178040" y="487680"/>
          <a:ext cx="2133600" cy="1303020"/>
        </a:xfrm>
        <a:prstGeom prst="rightArrowCallout">
          <a:avLst>
            <a:gd name="adj1" fmla="val 25000"/>
            <a:gd name="adj2" fmla="val 25000"/>
            <a:gd name="adj3" fmla="val 18204"/>
            <a:gd name="adj4" fmla="val 79118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Three</a:t>
          </a:r>
          <a:endParaRPr lang="en-US" sz="1600" b="1">
            <a:effectLst/>
          </a:endParaRPr>
        </a:p>
        <a:p>
          <a:pPr algn="ctr"/>
          <a:r>
            <a:rPr lang="en-US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 the sample information for each lane.</a:t>
          </a:r>
          <a:endParaRPr lang="en-US" sz="1600">
            <a:effectLst/>
          </a:endParaRPr>
        </a:p>
      </xdr:txBody>
    </xdr:sp>
    <xdr:clientData/>
  </xdr:twoCellAnchor>
  <xdr:oneCellAnchor>
    <xdr:from>
      <xdr:col>13</xdr:col>
      <xdr:colOff>327134</xdr:colOff>
      <xdr:row>0</xdr:row>
      <xdr:rowOff>0</xdr:rowOff>
    </xdr:from>
    <xdr:ext cx="542071" cy="937629"/>
    <xdr:sp macro="" textlink="">
      <xdr:nvSpPr>
        <xdr:cNvPr id="12" name="Rectangle 11"/>
        <xdr:cNvSpPr/>
      </xdr:nvSpPr>
      <xdr:spPr>
        <a:xfrm>
          <a:off x="8564354" y="0"/>
          <a:ext cx="54207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3</a:t>
          </a:r>
        </a:p>
      </xdr:txBody>
    </xdr:sp>
    <xdr:clientData/>
  </xdr:oneCellAnchor>
  <xdr:twoCellAnchor>
    <xdr:from>
      <xdr:col>18</xdr:col>
      <xdr:colOff>419100</xdr:colOff>
      <xdr:row>2</xdr:row>
      <xdr:rowOff>121920</xdr:rowOff>
    </xdr:from>
    <xdr:to>
      <xdr:col>22</xdr:col>
      <xdr:colOff>114300</xdr:colOff>
      <xdr:row>11</xdr:row>
      <xdr:rowOff>144780</xdr:rowOff>
    </xdr:to>
    <xdr:sp macro="" textlink="">
      <xdr:nvSpPr>
        <xdr:cNvPr id="16" name="Down Arrow Callout 15"/>
        <xdr:cNvSpPr/>
      </xdr:nvSpPr>
      <xdr:spPr>
        <a:xfrm>
          <a:off x="13952220" y="487680"/>
          <a:ext cx="2133600" cy="1668780"/>
        </a:xfrm>
        <a:prstGeom prst="downArrowCallout">
          <a:avLst>
            <a:gd name="adj1" fmla="val 25343"/>
            <a:gd name="adj2" fmla="val 19978"/>
            <a:gd name="adj3" fmla="val 16324"/>
            <a:gd name="adj4" fmla="val 7137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Four</a:t>
          </a:r>
          <a:endParaRPr lang="en-US" sz="1600" b="1">
            <a:effectLst/>
          </a:endParaRPr>
        </a:p>
        <a:p>
          <a:pPr algn="ctr"/>
          <a:r>
            <a:rPr lang="en-US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Calculate telomere length.</a:t>
          </a:r>
          <a:endParaRPr lang="en-US" sz="1600">
            <a:effectLst/>
          </a:endParaRPr>
        </a:p>
      </xdr:txBody>
    </xdr:sp>
    <xdr:clientData/>
  </xdr:twoCellAnchor>
  <xdr:oneCellAnchor>
    <xdr:from>
      <xdr:col>21</xdr:col>
      <xdr:colOff>410954</xdr:colOff>
      <xdr:row>0</xdr:row>
      <xdr:rowOff>0</xdr:rowOff>
    </xdr:from>
    <xdr:ext cx="542071" cy="937629"/>
    <xdr:sp macro="" textlink="">
      <xdr:nvSpPr>
        <xdr:cNvPr id="17" name="Rectangle 16"/>
        <xdr:cNvSpPr/>
      </xdr:nvSpPr>
      <xdr:spPr>
        <a:xfrm>
          <a:off x="15772874" y="0"/>
          <a:ext cx="54207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4</a:t>
          </a:r>
        </a:p>
      </xdr:txBody>
    </xdr:sp>
    <xdr:clientData/>
  </xdr:oneCellAnchor>
  <xdr:twoCellAnchor>
    <xdr:from>
      <xdr:col>18</xdr:col>
      <xdr:colOff>434340</xdr:colOff>
      <xdr:row>12</xdr:row>
      <xdr:rowOff>129540</xdr:rowOff>
    </xdr:from>
    <xdr:to>
      <xdr:col>22</xdr:col>
      <xdr:colOff>106680</xdr:colOff>
      <xdr:row>19</xdr:row>
      <xdr:rowOff>99060</xdr:rowOff>
    </xdr:to>
    <xdr:sp macro="[0]!subButtonStep4" textlink="">
      <xdr:nvSpPr>
        <xdr:cNvPr id="18" name="Rounded Rectangle 17"/>
        <xdr:cNvSpPr/>
      </xdr:nvSpPr>
      <xdr:spPr>
        <a:xfrm>
          <a:off x="13967460" y="2324100"/>
          <a:ext cx="2110740" cy="12496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Program</a:t>
          </a:r>
        </a:p>
        <a:p>
          <a:pPr algn="ctr"/>
          <a:r>
            <a:rPr lang="en-US" sz="1600"/>
            <a:t>Calculate with suggested</a:t>
          </a:r>
          <a:r>
            <a:rPr lang="en-US" sz="1600" baseline="0"/>
            <a:t> l</a:t>
          </a:r>
          <a:r>
            <a:rPr lang="en-US" sz="1600"/>
            <a:t>ower</a:t>
          </a:r>
          <a:r>
            <a:rPr lang="en-US" sz="1600" baseline="0"/>
            <a:t> box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 sz="1600" b="1"/>
        </a:p>
      </xdr:txBody>
    </xdr:sp>
    <xdr:clientData/>
  </xdr:twoCellAnchor>
  <xdr:twoCellAnchor>
    <xdr:from>
      <xdr:col>32</xdr:col>
      <xdr:colOff>106942</xdr:colOff>
      <xdr:row>2</xdr:row>
      <xdr:rowOff>114300</xdr:rowOff>
    </xdr:from>
    <xdr:to>
      <xdr:col>35</xdr:col>
      <xdr:colOff>411742</xdr:colOff>
      <xdr:row>11</xdr:row>
      <xdr:rowOff>137160</xdr:rowOff>
    </xdr:to>
    <xdr:sp macro="" textlink="">
      <xdr:nvSpPr>
        <xdr:cNvPr id="21" name="Down Arrow Callout 20"/>
        <xdr:cNvSpPr/>
      </xdr:nvSpPr>
      <xdr:spPr>
        <a:xfrm>
          <a:off x="21877282" y="480060"/>
          <a:ext cx="2133600" cy="1668780"/>
        </a:xfrm>
        <a:prstGeom prst="downArrowCallout">
          <a:avLst>
            <a:gd name="adj1" fmla="val 25343"/>
            <a:gd name="adj2" fmla="val 19978"/>
            <a:gd name="adj3" fmla="val 16324"/>
            <a:gd name="adj4" fmla="val 7137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Optional step five</a:t>
          </a:r>
        </a:p>
        <a:p>
          <a:pPr algn="ctr"/>
          <a:r>
            <a:rPr lang="en-US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Setup </a:t>
          </a:r>
          <a:r>
            <a:rPr lang="en-US" sz="16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custom lower box and re-calculate.</a:t>
          </a:r>
          <a:endParaRPr lang="en-US" sz="1600" b="0">
            <a:effectLst/>
          </a:endParaRPr>
        </a:p>
      </xdr:txBody>
    </xdr:sp>
    <xdr:clientData/>
  </xdr:twoCellAnchor>
  <xdr:oneCellAnchor>
    <xdr:from>
      <xdr:col>35</xdr:col>
      <xdr:colOff>110227</xdr:colOff>
      <xdr:row>0</xdr:row>
      <xdr:rowOff>0</xdr:rowOff>
    </xdr:from>
    <xdr:ext cx="542071" cy="937629"/>
    <xdr:sp macro="" textlink="">
      <xdr:nvSpPr>
        <xdr:cNvPr id="22" name="Rectangle 21"/>
        <xdr:cNvSpPr/>
      </xdr:nvSpPr>
      <xdr:spPr>
        <a:xfrm>
          <a:off x="23709367" y="0"/>
          <a:ext cx="54207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5</a:t>
          </a:r>
        </a:p>
      </xdr:txBody>
    </xdr:sp>
    <xdr:clientData/>
  </xdr:oneCellAnchor>
  <xdr:twoCellAnchor>
    <xdr:from>
      <xdr:col>32</xdr:col>
      <xdr:colOff>133612</xdr:colOff>
      <xdr:row>12</xdr:row>
      <xdr:rowOff>91440</xdr:rowOff>
    </xdr:from>
    <xdr:to>
      <xdr:col>35</xdr:col>
      <xdr:colOff>415552</xdr:colOff>
      <xdr:row>19</xdr:row>
      <xdr:rowOff>68580</xdr:rowOff>
    </xdr:to>
    <xdr:sp macro="[0]!subButtonStep5" textlink="">
      <xdr:nvSpPr>
        <xdr:cNvPr id="25" name="Rounded Rectangle 24"/>
        <xdr:cNvSpPr/>
      </xdr:nvSpPr>
      <xdr:spPr>
        <a:xfrm>
          <a:off x="21903952" y="2286000"/>
          <a:ext cx="2110740" cy="12573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Program</a:t>
          </a:r>
        </a:p>
        <a:p>
          <a:pPr algn="ctr"/>
          <a:r>
            <a:rPr lang="en-US" sz="1600"/>
            <a:t>Re-calculation with custom lower box</a:t>
          </a:r>
          <a:endParaRPr lang="en-US" sz="1600" baseline="0"/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 sz="1600" b="1"/>
        </a:p>
      </xdr:txBody>
    </xdr:sp>
    <xdr:clientData/>
  </xdr:twoCellAnchor>
  <xdr:twoCellAnchor>
    <xdr:from>
      <xdr:col>26</xdr:col>
      <xdr:colOff>381000</xdr:colOff>
      <xdr:row>2</xdr:row>
      <xdr:rowOff>15240</xdr:rowOff>
    </xdr:from>
    <xdr:to>
      <xdr:col>31</xdr:col>
      <xdr:colOff>327660</xdr:colOff>
      <xdr:row>11</xdr:row>
      <xdr:rowOff>15240</xdr:rowOff>
    </xdr:to>
    <xdr:sp macro="" textlink="">
      <xdr:nvSpPr>
        <xdr:cNvPr id="19" name="TextBox 18"/>
        <xdr:cNvSpPr txBox="1"/>
      </xdr:nvSpPr>
      <xdr:spPr>
        <a:xfrm>
          <a:off x="18493740" y="381000"/>
          <a:ext cx="2994660" cy="164592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1) It is preferred to setup your custom lower box position to be higher than the suggested one. In this case, you can use the automatic first-box volume reduction to eliminate negative volume values.</a:t>
          </a:r>
        </a:p>
        <a:p>
          <a:pPr algn="l"/>
          <a:r>
            <a:rPr lang="en-US" sz="1100"/>
            <a:t>2) </a:t>
          </a:r>
          <a:r>
            <a:rPr lang="en-US" sz="1100" b="1"/>
            <a:t>Whenever you reset your custom lower box, it is critical to run the re-calculation program</a:t>
          </a:r>
          <a:r>
            <a:rPr lang="en-US" sz="1100"/>
            <a:t> (optional step 5) again! Otherwise, the automatic first-box volume reduction may never stop.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0</xdr:colOff>
      <xdr:row>13</xdr:row>
      <xdr:rowOff>0</xdr:rowOff>
    </xdr:to>
    <xdr:graphicFrame macro="">
      <xdr:nvGraphicFramePr>
        <xdr:cNvPr id="7" name="Upper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15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13" name="Intermediat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27</xdr:row>
      <xdr:rowOff>0</xdr:rowOff>
    </xdr:from>
    <xdr:to>
      <xdr:col>7</xdr:col>
      <xdr:colOff>0</xdr:colOff>
      <xdr:row>37</xdr:row>
      <xdr:rowOff>0</xdr:rowOff>
    </xdr:to>
    <xdr:graphicFrame macro="">
      <xdr:nvGraphicFramePr>
        <xdr:cNvPr id="14" name="Lower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22</xdr:row>
      <xdr:rowOff>0</xdr:rowOff>
    </xdr:from>
    <xdr:to>
      <xdr:col>9</xdr:col>
      <xdr:colOff>0</xdr:colOff>
      <xdr:row>31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52</xdr:row>
      <xdr:rowOff>0</xdr:rowOff>
    </xdr:from>
    <xdr:to>
      <xdr:col>9</xdr:col>
      <xdr:colOff>0</xdr:colOff>
      <xdr:row>61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9</xdr:col>
      <xdr:colOff>0</xdr:colOff>
      <xdr:row>52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9</xdr:col>
      <xdr:colOff>0</xdr:colOff>
      <xdr:row>91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72</xdr:row>
      <xdr:rowOff>0</xdr:rowOff>
    </xdr:from>
    <xdr:to>
      <xdr:col>9</xdr:col>
      <xdr:colOff>0</xdr:colOff>
      <xdr:row>82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112</xdr:row>
      <xdr:rowOff>0</xdr:rowOff>
    </xdr:from>
    <xdr:to>
      <xdr:col>9</xdr:col>
      <xdr:colOff>0</xdr:colOff>
      <xdr:row>121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102</xdr:row>
      <xdr:rowOff>0</xdr:rowOff>
    </xdr:from>
    <xdr:to>
      <xdr:col>9</xdr:col>
      <xdr:colOff>0</xdr:colOff>
      <xdr:row>112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142</xdr:row>
      <xdr:rowOff>0</xdr:rowOff>
    </xdr:from>
    <xdr:to>
      <xdr:col>9</xdr:col>
      <xdr:colOff>0</xdr:colOff>
      <xdr:row>151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132</xdr:row>
      <xdr:rowOff>0</xdr:rowOff>
    </xdr:from>
    <xdr:to>
      <xdr:col>9</xdr:col>
      <xdr:colOff>0</xdr:colOff>
      <xdr:row>142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172</xdr:row>
      <xdr:rowOff>0</xdr:rowOff>
    </xdr:from>
    <xdr:to>
      <xdr:col>9</xdr:col>
      <xdr:colOff>0</xdr:colOff>
      <xdr:row>181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162</xdr:row>
      <xdr:rowOff>0</xdr:rowOff>
    </xdr:from>
    <xdr:to>
      <xdr:col>9</xdr:col>
      <xdr:colOff>0</xdr:colOff>
      <xdr:row>172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202</xdr:row>
      <xdr:rowOff>0</xdr:rowOff>
    </xdr:from>
    <xdr:to>
      <xdr:col>9</xdr:col>
      <xdr:colOff>0</xdr:colOff>
      <xdr:row>211</xdr:row>
      <xdr:rowOff>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192</xdr:row>
      <xdr:rowOff>0</xdr:rowOff>
    </xdr:from>
    <xdr:to>
      <xdr:col>9</xdr:col>
      <xdr:colOff>0</xdr:colOff>
      <xdr:row>202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232</xdr:row>
      <xdr:rowOff>0</xdr:rowOff>
    </xdr:from>
    <xdr:to>
      <xdr:col>9</xdr:col>
      <xdr:colOff>0</xdr:colOff>
      <xdr:row>241</xdr:row>
      <xdr:rowOff>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0</xdr:colOff>
      <xdr:row>222</xdr:row>
      <xdr:rowOff>0</xdr:rowOff>
    </xdr:from>
    <xdr:to>
      <xdr:col>9</xdr:col>
      <xdr:colOff>0</xdr:colOff>
      <xdr:row>232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262</xdr:row>
      <xdr:rowOff>0</xdr:rowOff>
    </xdr:from>
    <xdr:to>
      <xdr:col>9</xdr:col>
      <xdr:colOff>0</xdr:colOff>
      <xdr:row>271</xdr:row>
      <xdr:rowOff>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0</xdr:colOff>
      <xdr:row>252</xdr:row>
      <xdr:rowOff>0</xdr:rowOff>
    </xdr:from>
    <xdr:to>
      <xdr:col>9</xdr:col>
      <xdr:colOff>0</xdr:colOff>
      <xdr:row>262</xdr:row>
      <xdr:rowOff>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292</xdr:row>
      <xdr:rowOff>0</xdr:rowOff>
    </xdr:from>
    <xdr:to>
      <xdr:col>9</xdr:col>
      <xdr:colOff>0</xdr:colOff>
      <xdr:row>301</xdr:row>
      <xdr:rowOff>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282</xdr:row>
      <xdr:rowOff>0</xdr:rowOff>
    </xdr:from>
    <xdr:to>
      <xdr:col>9</xdr:col>
      <xdr:colOff>0</xdr:colOff>
      <xdr:row>292</xdr:row>
      <xdr:rowOff>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322</xdr:row>
      <xdr:rowOff>0</xdr:rowOff>
    </xdr:from>
    <xdr:to>
      <xdr:col>9</xdr:col>
      <xdr:colOff>0</xdr:colOff>
      <xdr:row>331</xdr:row>
      <xdr:rowOff>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312</xdr:row>
      <xdr:rowOff>0</xdr:rowOff>
    </xdr:from>
    <xdr:to>
      <xdr:col>9</xdr:col>
      <xdr:colOff>0</xdr:colOff>
      <xdr:row>322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352</xdr:row>
      <xdr:rowOff>0</xdr:rowOff>
    </xdr:from>
    <xdr:to>
      <xdr:col>9</xdr:col>
      <xdr:colOff>0</xdr:colOff>
      <xdr:row>361</xdr:row>
      <xdr:rowOff>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342</xdr:row>
      <xdr:rowOff>0</xdr:rowOff>
    </xdr:from>
    <xdr:to>
      <xdr:col>9</xdr:col>
      <xdr:colOff>0</xdr:colOff>
      <xdr:row>352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382</xdr:row>
      <xdr:rowOff>0</xdr:rowOff>
    </xdr:from>
    <xdr:to>
      <xdr:col>9</xdr:col>
      <xdr:colOff>0</xdr:colOff>
      <xdr:row>391</xdr:row>
      <xdr:rowOff>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372</xdr:row>
      <xdr:rowOff>0</xdr:rowOff>
    </xdr:from>
    <xdr:to>
      <xdr:col>9</xdr:col>
      <xdr:colOff>0</xdr:colOff>
      <xdr:row>382</xdr:row>
      <xdr:rowOff>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0</xdr:colOff>
      <xdr:row>412</xdr:row>
      <xdr:rowOff>0</xdr:rowOff>
    </xdr:from>
    <xdr:to>
      <xdr:col>9</xdr:col>
      <xdr:colOff>0</xdr:colOff>
      <xdr:row>421</xdr:row>
      <xdr:rowOff>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0</xdr:colOff>
      <xdr:row>402</xdr:row>
      <xdr:rowOff>0</xdr:rowOff>
    </xdr:from>
    <xdr:to>
      <xdr:col>9</xdr:col>
      <xdr:colOff>0</xdr:colOff>
      <xdr:row>412</xdr:row>
      <xdr:rowOff>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0</xdr:colOff>
      <xdr:row>442</xdr:row>
      <xdr:rowOff>0</xdr:rowOff>
    </xdr:from>
    <xdr:to>
      <xdr:col>9</xdr:col>
      <xdr:colOff>0</xdr:colOff>
      <xdr:row>451</xdr:row>
      <xdr:rowOff>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0</xdr:colOff>
      <xdr:row>432</xdr:row>
      <xdr:rowOff>0</xdr:rowOff>
    </xdr:from>
    <xdr:to>
      <xdr:col>9</xdr:col>
      <xdr:colOff>0</xdr:colOff>
      <xdr:row>442</xdr:row>
      <xdr:rowOff>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0</xdr:colOff>
      <xdr:row>472</xdr:row>
      <xdr:rowOff>0</xdr:rowOff>
    </xdr:from>
    <xdr:to>
      <xdr:col>9</xdr:col>
      <xdr:colOff>0</xdr:colOff>
      <xdr:row>481</xdr:row>
      <xdr:rowOff>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4</xdr:col>
      <xdr:colOff>0</xdr:colOff>
      <xdr:row>462</xdr:row>
      <xdr:rowOff>0</xdr:rowOff>
    </xdr:from>
    <xdr:to>
      <xdr:col>9</xdr:col>
      <xdr:colOff>0</xdr:colOff>
      <xdr:row>472</xdr:row>
      <xdr:rowOff>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4</xdr:col>
      <xdr:colOff>0</xdr:colOff>
      <xdr:row>502</xdr:row>
      <xdr:rowOff>0</xdr:rowOff>
    </xdr:from>
    <xdr:to>
      <xdr:col>9</xdr:col>
      <xdr:colOff>0</xdr:colOff>
      <xdr:row>511</xdr:row>
      <xdr:rowOff>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4</xdr:col>
      <xdr:colOff>0</xdr:colOff>
      <xdr:row>492</xdr:row>
      <xdr:rowOff>0</xdr:rowOff>
    </xdr:from>
    <xdr:to>
      <xdr:col>9</xdr:col>
      <xdr:colOff>0</xdr:colOff>
      <xdr:row>502</xdr:row>
      <xdr:rowOff>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4</xdr:col>
      <xdr:colOff>0</xdr:colOff>
      <xdr:row>532</xdr:row>
      <xdr:rowOff>0</xdr:rowOff>
    </xdr:from>
    <xdr:to>
      <xdr:col>9</xdr:col>
      <xdr:colOff>0</xdr:colOff>
      <xdr:row>541</xdr:row>
      <xdr:rowOff>0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4</xdr:col>
      <xdr:colOff>0</xdr:colOff>
      <xdr:row>522</xdr:row>
      <xdr:rowOff>0</xdr:rowOff>
    </xdr:from>
    <xdr:to>
      <xdr:col>9</xdr:col>
      <xdr:colOff>0</xdr:colOff>
      <xdr:row>532</xdr:row>
      <xdr:rowOff>0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</xdr:col>
      <xdr:colOff>0</xdr:colOff>
      <xdr:row>562</xdr:row>
      <xdr:rowOff>0</xdr:rowOff>
    </xdr:from>
    <xdr:to>
      <xdr:col>9</xdr:col>
      <xdr:colOff>0</xdr:colOff>
      <xdr:row>571</xdr:row>
      <xdr:rowOff>0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</xdr:col>
      <xdr:colOff>0</xdr:colOff>
      <xdr:row>552</xdr:row>
      <xdr:rowOff>0</xdr:rowOff>
    </xdr:from>
    <xdr:to>
      <xdr:col>9</xdr:col>
      <xdr:colOff>0</xdr:colOff>
      <xdr:row>562</xdr:row>
      <xdr:rowOff>0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</xdr:col>
      <xdr:colOff>0</xdr:colOff>
      <xdr:row>592</xdr:row>
      <xdr:rowOff>0</xdr:rowOff>
    </xdr:from>
    <xdr:to>
      <xdr:col>9</xdr:col>
      <xdr:colOff>0</xdr:colOff>
      <xdr:row>601</xdr:row>
      <xdr:rowOff>0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0</xdr:colOff>
      <xdr:row>582</xdr:row>
      <xdr:rowOff>0</xdr:rowOff>
    </xdr:from>
    <xdr:to>
      <xdr:col>9</xdr:col>
      <xdr:colOff>0</xdr:colOff>
      <xdr:row>592</xdr:row>
      <xdr:rowOff>0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8</xdr:col>
      <xdr:colOff>0</xdr:colOff>
      <xdr:row>2</xdr:row>
      <xdr:rowOff>0</xdr:rowOff>
    </xdr:from>
    <xdr:to>
      <xdr:col>10</xdr:col>
      <xdr:colOff>0</xdr:colOff>
      <xdr:row>7</xdr:row>
      <xdr:rowOff>0</xdr:rowOff>
    </xdr:to>
    <xdr:sp macro="[0]!submajorFormVolAdj" textlink="">
      <xdr:nvSpPr>
        <xdr:cNvPr id="45" name="Rectangle 44"/>
        <xdr:cNvSpPr/>
      </xdr:nvSpPr>
      <xdr:spPr>
        <a:xfrm>
          <a:off x="5280660" y="3657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Program</a:t>
          </a:r>
        </a:p>
        <a:p>
          <a:pPr algn="ctr"/>
          <a:r>
            <a:rPr lang="en-US" sz="1100"/>
            <a:t>Volume</a:t>
          </a:r>
          <a:br>
            <a:rPr lang="en-US" sz="1100"/>
          </a:br>
          <a:r>
            <a:rPr lang="en-US" sz="1100"/>
            <a:t>Adjustment</a:t>
          </a:r>
        </a:p>
        <a:p>
          <a:pPr algn="ctr"/>
          <a:r>
            <a:rPr lang="en-US" sz="1100" b="1"/>
            <a:t>(click to trigger)</a:t>
          </a:r>
        </a:p>
      </xdr:txBody>
    </xdr:sp>
    <xdr:clientData/>
  </xdr:twoCellAnchor>
  <xdr:twoCellAnchor>
    <xdr:from>
      <xdr:col>8</xdr:col>
      <xdr:colOff>0</xdr:colOff>
      <xdr:row>62</xdr:row>
      <xdr:rowOff>0</xdr:rowOff>
    </xdr:from>
    <xdr:to>
      <xdr:col>10</xdr:col>
      <xdr:colOff>0</xdr:colOff>
      <xdr:row>67</xdr:row>
      <xdr:rowOff>0</xdr:rowOff>
    </xdr:to>
    <xdr:sp macro="[0]!submajorFormVolAdj" textlink="">
      <xdr:nvSpPr>
        <xdr:cNvPr id="47" name="Rectangle 46"/>
        <xdr:cNvSpPr/>
      </xdr:nvSpPr>
      <xdr:spPr>
        <a:xfrm>
          <a:off x="5280660" y="113385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92</xdr:row>
      <xdr:rowOff>0</xdr:rowOff>
    </xdr:from>
    <xdr:to>
      <xdr:col>10</xdr:col>
      <xdr:colOff>0</xdr:colOff>
      <xdr:row>97</xdr:row>
      <xdr:rowOff>0</xdr:rowOff>
    </xdr:to>
    <xdr:sp macro="[0]!submajorFormVolAdj" textlink="">
      <xdr:nvSpPr>
        <xdr:cNvPr id="48" name="Rectangle 47"/>
        <xdr:cNvSpPr/>
      </xdr:nvSpPr>
      <xdr:spPr>
        <a:xfrm>
          <a:off x="5280660" y="168249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122</xdr:row>
      <xdr:rowOff>0</xdr:rowOff>
    </xdr:from>
    <xdr:to>
      <xdr:col>10</xdr:col>
      <xdr:colOff>0</xdr:colOff>
      <xdr:row>127</xdr:row>
      <xdr:rowOff>0</xdr:rowOff>
    </xdr:to>
    <xdr:sp macro="[0]!submajorFormVolAdj" textlink="">
      <xdr:nvSpPr>
        <xdr:cNvPr id="49" name="Rectangle 48"/>
        <xdr:cNvSpPr/>
      </xdr:nvSpPr>
      <xdr:spPr>
        <a:xfrm>
          <a:off x="5280660" y="223113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152</xdr:row>
      <xdr:rowOff>0</xdr:rowOff>
    </xdr:from>
    <xdr:to>
      <xdr:col>10</xdr:col>
      <xdr:colOff>0</xdr:colOff>
      <xdr:row>157</xdr:row>
      <xdr:rowOff>0</xdr:rowOff>
    </xdr:to>
    <xdr:sp macro="[0]!submajorFormVolAdj" textlink="">
      <xdr:nvSpPr>
        <xdr:cNvPr id="50" name="Rectangle 49"/>
        <xdr:cNvSpPr/>
      </xdr:nvSpPr>
      <xdr:spPr>
        <a:xfrm>
          <a:off x="5280660" y="277977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182</xdr:row>
      <xdr:rowOff>0</xdr:rowOff>
    </xdr:from>
    <xdr:to>
      <xdr:col>10</xdr:col>
      <xdr:colOff>0</xdr:colOff>
      <xdr:row>187</xdr:row>
      <xdr:rowOff>0</xdr:rowOff>
    </xdr:to>
    <xdr:sp macro="[0]!submajorFormVolAdj" textlink="">
      <xdr:nvSpPr>
        <xdr:cNvPr id="51" name="Rectangle 50"/>
        <xdr:cNvSpPr/>
      </xdr:nvSpPr>
      <xdr:spPr>
        <a:xfrm>
          <a:off x="5280660" y="332841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212</xdr:row>
      <xdr:rowOff>0</xdr:rowOff>
    </xdr:from>
    <xdr:to>
      <xdr:col>10</xdr:col>
      <xdr:colOff>0</xdr:colOff>
      <xdr:row>217</xdr:row>
      <xdr:rowOff>0</xdr:rowOff>
    </xdr:to>
    <xdr:sp macro="[0]!submajorFormVolAdj" textlink="">
      <xdr:nvSpPr>
        <xdr:cNvPr id="52" name="Rectangle 51"/>
        <xdr:cNvSpPr/>
      </xdr:nvSpPr>
      <xdr:spPr>
        <a:xfrm>
          <a:off x="5280660" y="387705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242</xdr:row>
      <xdr:rowOff>0</xdr:rowOff>
    </xdr:from>
    <xdr:to>
      <xdr:col>10</xdr:col>
      <xdr:colOff>0</xdr:colOff>
      <xdr:row>247</xdr:row>
      <xdr:rowOff>0</xdr:rowOff>
    </xdr:to>
    <xdr:sp macro="[0]!submajorFormVolAdj" textlink="">
      <xdr:nvSpPr>
        <xdr:cNvPr id="53" name="Rectangle 52"/>
        <xdr:cNvSpPr/>
      </xdr:nvSpPr>
      <xdr:spPr>
        <a:xfrm>
          <a:off x="5280660" y="442569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272</xdr:row>
      <xdr:rowOff>0</xdr:rowOff>
    </xdr:from>
    <xdr:to>
      <xdr:col>10</xdr:col>
      <xdr:colOff>0</xdr:colOff>
      <xdr:row>277</xdr:row>
      <xdr:rowOff>0</xdr:rowOff>
    </xdr:to>
    <xdr:sp macro="[0]!submajorFormVolAdj" textlink="">
      <xdr:nvSpPr>
        <xdr:cNvPr id="54" name="Rectangle 53"/>
        <xdr:cNvSpPr/>
      </xdr:nvSpPr>
      <xdr:spPr>
        <a:xfrm>
          <a:off x="5280660" y="497433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302</xdr:row>
      <xdr:rowOff>0</xdr:rowOff>
    </xdr:from>
    <xdr:to>
      <xdr:col>10</xdr:col>
      <xdr:colOff>0</xdr:colOff>
      <xdr:row>307</xdr:row>
      <xdr:rowOff>0</xdr:rowOff>
    </xdr:to>
    <xdr:sp macro="[0]!submajorFormVolAdj" textlink="">
      <xdr:nvSpPr>
        <xdr:cNvPr id="55" name="Rectangle 54"/>
        <xdr:cNvSpPr/>
      </xdr:nvSpPr>
      <xdr:spPr>
        <a:xfrm>
          <a:off x="5280660" y="552297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332</xdr:row>
      <xdr:rowOff>0</xdr:rowOff>
    </xdr:from>
    <xdr:to>
      <xdr:col>10</xdr:col>
      <xdr:colOff>0</xdr:colOff>
      <xdr:row>337</xdr:row>
      <xdr:rowOff>0</xdr:rowOff>
    </xdr:to>
    <xdr:sp macro="[0]!submajorFormVolAdj" textlink="">
      <xdr:nvSpPr>
        <xdr:cNvPr id="56" name="Rectangle 55"/>
        <xdr:cNvSpPr/>
      </xdr:nvSpPr>
      <xdr:spPr>
        <a:xfrm>
          <a:off x="5280660" y="607161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362</xdr:row>
      <xdr:rowOff>0</xdr:rowOff>
    </xdr:from>
    <xdr:to>
      <xdr:col>10</xdr:col>
      <xdr:colOff>0</xdr:colOff>
      <xdr:row>367</xdr:row>
      <xdr:rowOff>0</xdr:rowOff>
    </xdr:to>
    <xdr:sp macro="[0]!submajorFormVolAdj" textlink="">
      <xdr:nvSpPr>
        <xdr:cNvPr id="57" name="Rectangle 56"/>
        <xdr:cNvSpPr/>
      </xdr:nvSpPr>
      <xdr:spPr>
        <a:xfrm>
          <a:off x="5280660" y="662025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392</xdr:row>
      <xdr:rowOff>0</xdr:rowOff>
    </xdr:from>
    <xdr:to>
      <xdr:col>10</xdr:col>
      <xdr:colOff>0</xdr:colOff>
      <xdr:row>397</xdr:row>
      <xdr:rowOff>0</xdr:rowOff>
    </xdr:to>
    <xdr:sp macro="[0]!submajorFormVolAdj" textlink="">
      <xdr:nvSpPr>
        <xdr:cNvPr id="58" name="Rectangle 57"/>
        <xdr:cNvSpPr/>
      </xdr:nvSpPr>
      <xdr:spPr>
        <a:xfrm>
          <a:off x="5280660" y="716889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422</xdr:row>
      <xdr:rowOff>0</xdr:rowOff>
    </xdr:from>
    <xdr:to>
      <xdr:col>10</xdr:col>
      <xdr:colOff>0</xdr:colOff>
      <xdr:row>427</xdr:row>
      <xdr:rowOff>0</xdr:rowOff>
    </xdr:to>
    <xdr:sp macro="[0]!submajorFormVolAdj" textlink="">
      <xdr:nvSpPr>
        <xdr:cNvPr id="59" name="Rectangle 58"/>
        <xdr:cNvSpPr/>
      </xdr:nvSpPr>
      <xdr:spPr>
        <a:xfrm>
          <a:off x="5280660" y="771753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452</xdr:row>
      <xdr:rowOff>0</xdr:rowOff>
    </xdr:from>
    <xdr:to>
      <xdr:col>10</xdr:col>
      <xdr:colOff>0</xdr:colOff>
      <xdr:row>457</xdr:row>
      <xdr:rowOff>0</xdr:rowOff>
    </xdr:to>
    <xdr:sp macro="[0]!submajorFormVolAdj" textlink="">
      <xdr:nvSpPr>
        <xdr:cNvPr id="60" name="Rectangle 59"/>
        <xdr:cNvSpPr/>
      </xdr:nvSpPr>
      <xdr:spPr>
        <a:xfrm>
          <a:off x="5280660" y="826617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482</xdr:row>
      <xdr:rowOff>0</xdr:rowOff>
    </xdr:from>
    <xdr:to>
      <xdr:col>10</xdr:col>
      <xdr:colOff>0</xdr:colOff>
      <xdr:row>487</xdr:row>
      <xdr:rowOff>0</xdr:rowOff>
    </xdr:to>
    <xdr:sp macro="[0]!submajorFormVolAdj" textlink="">
      <xdr:nvSpPr>
        <xdr:cNvPr id="61" name="Rectangle 60"/>
        <xdr:cNvSpPr/>
      </xdr:nvSpPr>
      <xdr:spPr>
        <a:xfrm>
          <a:off x="5280660" y="881481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512</xdr:row>
      <xdr:rowOff>0</xdr:rowOff>
    </xdr:from>
    <xdr:to>
      <xdr:col>10</xdr:col>
      <xdr:colOff>0</xdr:colOff>
      <xdr:row>517</xdr:row>
      <xdr:rowOff>0</xdr:rowOff>
    </xdr:to>
    <xdr:sp macro="[0]!submajorFormVolAdj" textlink="">
      <xdr:nvSpPr>
        <xdr:cNvPr id="62" name="Rectangle 61"/>
        <xdr:cNvSpPr/>
      </xdr:nvSpPr>
      <xdr:spPr>
        <a:xfrm>
          <a:off x="5280660" y="936345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542</xdr:row>
      <xdr:rowOff>0</xdr:rowOff>
    </xdr:from>
    <xdr:to>
      <xdr:col>10</xdr:col>
      <xdr:colOff>0</xdr:colOff>
      <xdr:row>547</xdr:row>
      <xdr:rowOff>0</xdr:rowOff>
    </xdr:to>
    <xdr:sp macro="[0]!submajorFormVolAdj" textlink="">
      <xdr:nvSpPr>
        <xdr:cNvPr id="63" name="Rectangle 62"/>
        <xdr:cNvSpPr/>
      </xdr:nvSpPr>
      <xdr:spPr>
        <a:xfrm>
          <a:off x="5280660" y="991209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572</xdr:row>
      <xdr:rowOff>0</xdr:rowOff>
    </xdr:from>
    <xdr:to>
      <xdr:col>10</xdr:col>
      <xdr:colOff>0</xdr:colOff>
      <xdr:row>577</xdr:row>
      <xdr:rowOff>0</xdr:rowOff>
    </xdr:to>
    <xdr:sp macro="[0]!submajorFormVolAdj" textlink="">
      <xdr:nvSpPr>
        <xdr:cNvPr id="64" name="Rectangle 63"/>
        <xdr:cNvSpPr/>
      </xdr:nvSpPr>
      <xdr:spPr>
        <a:xfrm>
          <a:off x="5280660" y="1046073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</a:t>
          </a:r>
          <a:endParaRPr lang="en-US">
            <a:effectLst/>
          </a:endParaRPr>
        </a:p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Adjustment</a:t>
          </a:r>
          <a:endParaRPr lang="en-US">
            <a:effectLst/>
          </a:endParaRPr>
        </a:p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>
            <a:effectLst/>
          </a:endParaRP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10</xdr:col>
      <xdr:colOff>0</xdr:colOff>
      <xdr:row>37</xdr:row>
      <xdr:rowOff>0</xdr:rowOff>
    </xdr:to>
    <xdr:sp macro="[0]!submajorFormVolAdj" textlink="">
      <xdr:nvSpPr>
        <xdr:cNvPr id="65" name="Rectangle 64"/>
        <xdr:cNvSpPr/>
      </xdr:nvSpPr>
      <xdr:spPr>
        <a:xfrm>
          <a:off x="5280660" y="5852160"/>
          <a:ext cx="1219200" cy="9144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Program</a:t>
          </a:r>
        </a:p>
        <a:p>
          <a:pPr algn="ctr"/>
          <a:r>
            <a:rPr lang="en-US" sz="1100"/>
            <a:t>Volume</a:t>
          </a:r>
          <a:br>
            <a:rPr lang="en-US" sz="1100"/>
          </a:br>
          <a:r>
            <a:rPr lang="en-US" sz="1100"/>
            <a:t>Adjustment</a:t>
          </a:r>
        </a:p>
        <a:p>
          <a:pPr algn="ctr"/>
          <a:r>
            <a:rPr lang="en-US" sz="1100" b="1"/>
            <a:t>(click to trigger)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13</xdr:col>
      <xdr:colOff>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280555</xdr:colOff>
      <xdr:row>28</xdr:row>
      <xdr:rowOff>4364</xdr:rowOff>
    </xdr:from>
    <xdr:to>
      <xdr:col>17</xdr:col>
      <xdr:colOff>438630</xdr:colOff>
      <xdr:row>37</xdr:row>
      <xdr:rowOff>71005</xdr:rowOff>
    </xdr:to>
    <xdr:graphicFrame macro="">
      <xdr:nvGraphicFramePr>
        <xdr:cNvPr id="33" name="Diagram 3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>
    <xdr:from>
      <xdr:col>18</xdr:col>
      <xdr:colOff>205740</xdr:colOff>
      <xdr:row>2</xdr:row>
      <xdr:rowOff>114300</xdr:rowOff>
    </xdr:from>
    <xdr:to>
      <xdr:col>22</xdr:col>
      <xdr:colOff>68580</xdr:colOff>
      <xdr:row>13</xdr:row>
      <xdr:rowOff>175260</xdr:rowOff>
    </xdr:to>
    <xdr:sp macro="" textlink="">
      <xdr:nvSpPr>
        <xdr:cNvPr id="10" name="Down Arrow Callout 9"/>
        <xdr:cNvSpPr/>
      </xdr:nvSpPr>
      <xdr:spPr>
        <a:xfrm>
          <a:off x="10767060" y="480060"/>
          <a:ext cx="2301240" cy="2072640"/>
        </a:xfrm>
        <a:prstGeom prst="downArrowCallout">
          <a:avLst>
            <a:gd name="adj1" fmla="val 25343"/>
            <a:gd name="adj2" fmla="val 19978"/>
            <a:gd name="adj3" fmla="val 16324"/>
            <a:gd name="adj4" fmla="val 7137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Optional step six</a:t>
          </a:r>
        </a:p>
        <a:p>
          <a:pPr algn="ctr"/>
          <a:r>
            <a:rPr lang="en-US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Automatic first-box volume reducion</a:t>
          </a:r>
          <a:r>
            <a:rPr lang="en-US" sz="16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eliminate negative volume values.</a:t>
          </a:r>
          <a:endParaRPr lang="en-US" sz="1600" b="0">
            <a:effectLst/>
          </a:endParaRPr>
        </a:p>
      </xdr:txBody>
    </xdr:sp>
    <xdr:clientData/>
  </xdr:twoCellAnchor>
  <xdr:oneCellAnchor>
    <xdr:from>
      <xdr:col>21</xdr:col>
      <xdr:colOff>346185</xdr:colOff>
      <xdr:row>0</xdr:row>
      <xdr:rowOff>0</xdr:rowOff>
    </xdr:from>
    <xdr:ext cx="542071" cy="937629"/>
    <xdr:sp macro="" textlink="">
      <xdr:nvSpPr>
        <xdr:cNvPr id="11" name="Rectangle 10"/>
        <xdr:cNvSpPr/>
      </xdr:nvSpPr>
      <xdr:spPr>
        <a:xfrm>
          <a:off x="12736305" y="0"/>
          <a:ext cx="54207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6</a:t>
          </a:r>
        </a:p>
      </xdr:txBody>
    </xdr:sp>
    <xdr:clientData/>
  </xdr:oneCellAnchor>
  <xdr:twoCellAnchor>
    <xdr:from>
      <xdr:col>18</xdr:col>
      <xdr:colOff>308610</xdr:colOff>
      <xdr:row>14</xdr:row>
      <xdr:rowOff>152400</xdr:rowOff>
    </xdr:from>
    <xdr:to>
      <xdr:col>21</xdr:col>
      <xdr:colOff>590550</xdr:colOff>
      <xdr:row>21</xdr:row>
      <xdr:rowOff>129540</xdr:rowOff>
    </xdr:to>
    <xdr:sp macro="[0]!submajorFirstVolReduction" textlink="">
      <xdr:nvSpPr>
        <xdr:cNvPr id="12" name="Rounded Rectangle 11"/>
        <xdr:cNvSpPr/>
      </xdr:nvSpPr>
      <xdr:spPr>
        <a:xfrm>
          <a:off x="10869930" y="2712720"/>
          <a:ext cx="2110740" cy="12573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Program</a:t>
          </a:r>
        </a:p>
        <a:p>
          <a:pPr algn="ctr"/>
          <a:r>
            <a:rPr lang="en-US" sz="1600"/>
            <a:t>Calculation with custom lower box</a:t>
          </a:r>
          <a:endParaRPr lang="en-US" sz="1600" baseline="0"/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 sz="1600" b="1"/>
        </a:p>
      </xdr:txBody>
    </xdr:sp>
    <xdr:clientData/>
  </xdr:twoCellAnchor>
  <xdr:twoCellAnchor>
    <xdr:from>
      <xdr:col>22</xdr:col>
      <xdr:colOff>563880</xdr:colOff>
      <xdr:row>2</xdr:row>
      <xdr:rowOff>114300</xdr:rowOff>
    </xdr:from>
    <xdr:to>
      <xdr:col>26</xdr:col>
      <xdr:colOff>426720</xdr:colOff>
      <xdr:row>13</xdr:row>
      <xdr:rowOff>175260</xdr:rowOff>
    </xdr:to>
    <xdr:sp macro="" textlink="">
      <xdr:nvSpPr>
        <xdr:cNvPr id="13" name="Down Arrow Callout 12"/>
        <xdr:cNvSpPr/>
      </xdr:nvSpPr>
      <xdr:spPr>
        <a:xfrm>
          <a:off x="13563600" y="480060"/>
          <a:ext cx="2301240" cy="2072640"/>
        </a:xfrm>
        <a:prstGeom prst="downArrowCallout">
          <a:avLst>
            <a:gd name="adj1" fmla="val 25343"/>
            <a:gd name="adj2" fmla="val 19978"/>
            <a:gd name="adj3" fmla="val 16324"/>
            <a:gd name="adj4" fmla="val 7137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Optional step seven</a:t>
          </a:r>
        </a:p>
        <a:p>
          <a:pPr algn="ctr"/>
          <a:r>
            <a:rPr lang="en-US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 individual box volumes to achieve a smooth distribution.</a:t>
          </a:r>
        </a:p>
      </xdr:txBody>
    </xdr:sp>
    <xdr:clientData/>
  </xdr:twoCellAnchor>
  <xdr:oneCellAnchor>
    <xdr:from>
      <xdr:col>26</xdr:col>
      <xdr:colOff>94725</xdr:colOff>
      <xdr:row>0</xdr:row>
      <xdr:rowOff>0</xdr:rowOff>
    </xdr:from>
    <xdr:ext cx="542071" cy="937629"/>
    <xdr:sp macro="" textlink="">
      <xdr:nvSpPr>
        <xdr:cNvPr id="14" name="Rectangle 13"/>
        <xdr:cNvSpPr/>
      </xdr:nvSpPr>
      <xdr:spPr>
        <a:xfrm>
          <a:off x="15532845" y="0"/>
          <a:ext cx="54207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7</a:t>
          </a:r>
        </a:p>
      </xdr:txBody>
    </xdr:sp>
    <xdr:clientData/>
  </xdr:oneCellAnchor>
  <xdr:twoCellAnchor>
    <xdr:from>
      <xdr:col>23</xdr:col>
      <xdr:colOff>57150</xdr:colOff>
      <xdr:row>14</xdr:row>
      <xdr:rowOff>152400</xdr:rowOff>
    </xdr:from>
    <xdr:to>
      <xdr:col>26</xdr:col>
      <xdr:colOff>339090</xdr:colOff>
      <xdr:row>21</xdr:row>
      <xdr:rowOff>129540</xdr:rowOff>
    </xdr:to>
    <xdr:sp macro="[0]!subButtonStep7" textlink="">
      <xdr:nvSpPr>
        <xdr:cNvPr id="15" name="Rounded Rectangle 14"/>
        <xdr:cNvSpPr/>
      </xdr:nvSpPr>
      <xdr:spPr>
        <a:xfrm>
          <a:off x="13666470" y="2712720"/>
          <a:ext cx="2110740" cy="12573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0"/>
            <a:t>Go to Section III to adjust individual box volume</a:t>
          </a:r>
          <a:endParaRPr lang="en-US" sz="1600" b="0" baseline="0"/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 sz="1600" b="1"/>
        </a:p>
      </xdr:txBody>
    </xdr:sp>
    <xdr:clientData/>
  </xdr:twoCellAnchor>
  <xdr:twoCellAnchor>
    <xdr:from>
      <xdr:col>14</xdr:col>
      <xdr:colOff>30480</xdr:colOff>
      <xdr:row>2</xdr:row>
      <xdr:rowOff>114300</xdr:rowOff>
    </xdr:from>
    <xdr:to>
      <xdr:col>17</xdr:col>
      <xdr:colOff>335280</xdr:colOff>
      <xdr:row>11</xdr:row>
      <xdr:rowOff>137160</xdr:rowOff>
    </xdr:to>
    <xdr:sp macro="" textlink="">
      <xdr:nvSpPr>
        <xdr:cNvPr id="16" name="Down Arrow Callout 15"/>
        <xdr:cNvSpPr/>
      </xdr:nvSpPr>
      <xdr:spPr>
        <a:xfrm>
          <a:off x="8153400" y="480060"/>
          <a:ext cx="2133600" cy="1668780"/>
        </a:xfrm>
        <a:prstGeom prst="downArrowCallout">
          <a:avLst>
            <a:gd name="adj1" fmla="val 25343"/>
            <a:gd name="adj2" fmla="val 19978"/>
            <a:gd name="adj3" fmla="val 16324"/>
            <a:gd name="adj4" fmla="val 7137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Optional step five</a:t>
          </a:r>
        </a:p>
        <a:p>
          <a:pPr algn="ctr"/>
          <a:r>
            <a:rPr lang="en-US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Setup </a:t>
          </a:r>
          <a:r>
            <a:rPr lang="en-US" sz="16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custom lower box and re-calculate.</a:t>
          </a:r>
          <a:endParaRPr lang="en-US" sz="1600" b="0">
            <a:effectLst/>
          </a:endParaRPr>
        </a:p>
      </xdr:txBody>
    </xdr:sp>
    <xdr:clientData/>
  </xdr:twoCellAnchor>
  <xdr:oneCellAnchor>
    <xdr:from>
      <xdr:col>17</xdr:col>
      <xdr:colOff>33765</xdr:colOff>
      <xdr:row>0</xdr:row>
      <xdr:rowOff>0</xdr:rowOff>
    </xdr:from>
    <xdr:ext cx="542071" cy="937629"/>
    <xdr:sp macro="" textlink="">
      <xdr:nvSpPr>
        <xdr:cNvPr id="17" name="Rectangle 16"/>
        <xdr:cNvSpPr/>
      </xdr:nvSpPr>
      <xdr:spPr>
        <a:xfrm>
          <a:off x="9985485" y="0"/>
          <a:ext cx="54207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5</a:t>
          </a:r>
        </a:p>
      </xdr:txBody>
    </xdr:sp>
    <xdr:clientData/>
  </xdr:oneCellAnchor>
  <xdr:twoCellAnchor>
    <xdr:from>
      <xdr:col>14</xdr:col>
      <xdr:colOff>57150</xdr:colOff>
      <xdr:row>13</xdr:row>
      <xdr:rowOff>0</xdr:rowOff>
    </xdr:from>
    <xdr:to>
      <xdr:col>17</xdr:col>
      <xdr:colOff>339090</xdr:colOff>
      <xdr:row>19</xdr:row>
      <xdr:rowOff>160020</xdr:rowOff>
    </xdr:to>
    <xdr:sp macro="[0]!subButtonGoToSectionI" textlink="">
      <xdr:nvSpPr>
        <xdr:cNvPr id="18" name="Rounded Rectangle 17"/>
        <xdr:cNvSpPr/>
      </xdr:nvSpPr>
      <xdr:spPr>
        <a:xfrm>
          <a:off x="8180070" y="2377440"/>
          <a:ext cx="2110740" cy="12573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0"/>
            <a:t>Go to Section I to setup</a:t>
          </a:r>
          <a:r>
            <a:rPr lang="en-US" sz="1600" b="0" baseline="0"/>
            <a:t> custom lower box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(click to trigger)</a:t>
          </a:r>
          <a:endParaRPr 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01"/>
  <sheetViews>
    <sheetView showGridLines="0" tabSelected="1" zoomScaleNormal="100" workbookViewId="0"/>
  </sheetViews>
  <sheetFormatPr defaultRowHeight="14.4"/>
  <cols>
    <col min="4" max="4" width="8.88671875" customWidth="1"/>
    <col min="5" max="5" width="11.44140625" style="59" customWidth="1"/>
    <col min="6" max="6" width="10.88671875" style="59" customWidth="1"/>
    <col min="11" max="11" width="8.88671875" style="60"/>
    <col min="16" max="16" width="10.6640625" customWidth="1"/>
    <col min="17" max="17" width="13.77734375" customWidth="1"/>
    <col min="18" max="18" width="13.6640625" customWidth="1"/>
    <col min="25" max="25" width="18.5546875" bestFit="1" customWidth="1"/>
    <col min="26" max="26" width="16.21875" bestFit="1" customWidth="1"/>
  </cols>
  <sheetData>
    <row r="1" spans="1:26">
      <c r="E1" s="71" t="s">
        <v>20</v>
      </c>
      <c r="F1" s="72"/>
      <c r="K1" s="62" t="s">
        <v>14</v>
      </c>
      <c r="P1" s="69" t="s">
        <v>21</v>
      </c>
      <c r="Q1" s="70"/>
      <c r="R1" s="70"/>
      <c r="X1" s="73" t="s">
        <v>21</v>
      </c>
      <c r="Y1" s="74"/>
      <c r="Z1" s="74"/>
    </row>
    <row r="2" spans="1:26">
      <c r="E2" s="66" t="s">
        <v>2</v>
      </c>
      <c r="F2" s="66" t="s">
        <v>3</v>
      </c>
      <c r="K2" s="63">
        <v>1791.02</v>
      </c>
      <c r="P2" s="64" t="s">
        <v>11</v>
      </c>
      <c r="Q2" s="64" t="s">
        <v>26</v>
      </c>
      <c r="R2" s="64" t="s">
        <v>27</v>
      </c>
      <c r="X2" s="64" t="s">
        <v>11</v>
      </c>
      <c r="Y2" s="64" t="s">
        <v>22</v>
      </c>
      <c r="Z2" s="64" t="s">
        <v>23</v>
      </c>
    </row>
    <row r="3" spans="1:26">
      <c r="E3" s="61">
        <v>22</v>
      </c>
      <c r="F3" s="61">
        <v>5.15</v>
      </c>
      <c r="K3" s="63">
        <v>2266.17</v>
      </c>
      <c r="O3" s="65"/>
      <c r="P3" s="9">
        <v>1</v>
      </c>
      <c r="Q3" s="9" t="s">
        <v>10</v>
      </c>
      <c r="R3" s="9"/>
      <c r="X3" s="9">
        <v>1</v>
      </c>
      <c r="Y3" s="9"/>
      <c r="Z3" s="9"/>
    </row>
    <row r="4" spans="1:26">
      <c r="B4" t="s">
        <v>32</v>
      </c>
      <c r="E4" s="61">
        <v>12</v>
      </c>
      <c r="F4" s="61">
        <v>7.1</v>
      </c>
      <c r="K4" s="63">
        <v>2684.76</v>
      </c>
      <c r="O4" s="65"/>
      <c r="P4" s="9">
        <v>2</v>
      </c>
      <c r="Q4" s="9" t="s">
        <v>16</v>
      </c>
      <c r="R4" s="9"/>
      <c r="X4" s="9">
        <v>2</v>
      </c>
      <c r="Y4" s="9"/>
      <c r="Z4" s="9"/>
    </row>
    <row r="5" spans="1:26">
      <c r="E5" s="61">
        <v>10</v>
      </c>
      <c r="F5" s="61">
        <v>7.9</v>
      </c>
      <c r="K5" s="63">
        <v>3883.79</v>
      </c>
      <c r="O5" s="65"/>
      <c r="P5" s="9">
        <v>3</v>
      </c>
      <c r="Q5" s="9">
        <v>11</v>
      </c>
      <c r="R5" s="9" t="s">
        <v>28</v>
      </c>
      <c r="X5" s="9">
        <v>3</v>
      </c>
      <c r="Y5" s="9"/>
      <c r="Z5" s="9"/>
    </row>
    <row r="6" spans="1:26">
      <c r="E6" s="61">
        <v>8</v>
      </c>
      <c r="F6" s="61">
        <v>9.15</v>
      </c>
      <c r="K6" s="63">
        <v>40670.07</v>
      </c>
      <c r="O6" s="65"/>
      <c r="P6" s="9">
        <v>4</v>
      </c>
      <c r="Q6" s="9">
        <v>11</v>
      </c>
      <c r="R6" s="9" t="s">
        <v>29</v>
      </c>
      <c r="X6" s="9">
        <v>4</v>
      </c>
      <c r="Y6" s="9"/>
      <c r="Z6" s="9"/>
    </row>
    <row r="7" spans="1:26">
      <c r="E7" s="61">
        <v>7</v>
      </c>
      <c r="F7" s="61">
        <v>10.1</v>
      </c>
      <c r="K7" s="63">
        <v>67070.61</v>
      </c>
      <c r="O7" s="65"/>
      <c r="P7" s="9">
        <v>5</v>
      </c>
      <c r="Q7" s="9">
        <v>11</v>
      </c>
      <c r="R7" s="9" t="s">
        <v>30</v>
      </c>
      <c r="X7" s="9">
        <v>5</v>
      </c>
      <c r="Y7" s="9"/>
      <c r="Z7" s="9"/>
    </row>
    <row r="8" spans="1:26">
      <c r="E8" s="61">
        <v>6</v>
      </c>
      <c r="F8" s="61">
        <v>11.25</v>
      </c>
      <c r="K8" s="63">
        <v>23035.84</v>
      </c>
      <c r="O8" s="65"/>
      <c r="P8" s="9">
        <v>6</v>
      </c>
      <c r="Q8" s="9">
        <v>11</v>
      </c>
      <c r="R8" s="9" t="s">
        <v>31</v>
      </c>
      <c r="X8" s="9">
        <v>6</v>
      </c>
      <c r="Y8" s="9"/>
      <c r="Z8" s="9"/>
    </row>
    <row r="9" spans="1:26">
      <c r="E9" s="61">
        <v>5</v>
      </c>
      <c r="F9" s="61">
        <v>12.85</v>
      </c>
      <c r="K9" s="63">
        <v>73344.81</v>
      </c>
      <c r="O9" s="65"/>
      <c r="P9" s="9">
        <v>7</v>
      </c>
      <c r="Q9" s="9">
        <v>12</v>
      </c>
      <c r="R9" s="9" t="s">
        <v>28</v>
      </c>
      <c r="X9" s="9">
        <v>7</v>
      </c>
      <c r="Y9" s="9"/>
      <c r="Z9" s="9"/>
    </row>
    <row r="10" spans="1:26">
      <c r="E10" s="61">
        <v>4.3</v>
      </c>
      <c r="F10" s="61">
        <v>14.1</v>
      </c>
      <c r="K10" s="63">
        <v>189596.83</v>
      </c>
      <c r="O10" s="65"/>
      <c r="P10" s="9">
        <v>8</v>
      </c>
      <c r="Q10" s="9">
        <v>12</v>
      </c>
      <c r="R10" s="9" t="s">
        <v>29</v>
      </c>
      <c r="X10" s="9">
        <v>8</v>
      </c>
      <c r="Y10" s="9"/>
      <c r="Z10" s="9"/>
    </row>
    <row r="11" spans="1:26">
      <c r="E11" s="61">
        <v>4</v>
      </c>
      <c r="F11" s="61">
        <v>14.9</v>
      </c>
      <c r="K11" s="63">
        <v>58594.42</v>
      </c>
      <c r="O11" s="65"/>
      <c r="P11" s="9">
        <v>9</v>
      </c>
      <c r="Q11" s="9">
        <v>12</v>
      </c>
      <c r="R11" s="9" t="s">
        <v>30</v>
      </c>
      <c r="X11" s="9">
        <v>9</v>
      </c>
      <c r="Y11" s="9"/>
      <c r="Z11" s="9"/>
    </row>
    <row r="12" spans="1:26">
      <c r="A12" s="68"/>
      <c r="B12" s="68"/>
      <c r="C12" s="68"/>
      <c r="E12" s="61">
        <v>3</v>
      </c>
      <c r="F12" s="61">
        <v>17.899999999999999</v>
      </c>
      <c r="K12" s="63">
        <v>178321.69</v>
      </c>
      <c r="O12" s="65"/>
      <c r="P12" s="9">
        <v>10</v>
      </c>
      <c r="Q12" s="9">
        <v>12</v>
      </c>
      <c r="R12" s="9" t="s">
        <v>31</v>
      </c>
      <c r="X12" s="9">
        <v>10</v>
      </c>
      <c r="Y12" s="9"/>
      <c r="Z12" s="9"/>
    </row>
    <row r="13" spans="1:26">
      <c r="A13" s="68"/>
      <c r="B13" s="68"/>
      <c r="C13" s="68"/>
      <c r="E13" s="61">
        <v>2.4</v>
      </c>
      <c r="F13" s="61">
        <v>20.66</v>
      </c>
      <c r="K13" s="63">
        <v>97966.18</v>
      </c>
      <c r="O13" s="65"/>
      <c r="P13" s="9">
        <v>11</v>
      </c>
      <c r="Q13" s="9">
        <v>13</v>
      </c>
      <c r="R13" s="9" t="s">
        <v>28</v>
      </c>
      <c r="X13" s="9">
        <v>11</v>
      </c>
      <c r="Y13" s="9"/>
      <c r="Z13" s="9"/>
    </row>
    <row r="14" spans="1:26">
      <c r="A14" s="68"/>
      <c r="B14" s="68"/>
      <c r="C14" s="68"/>
      <c r="E14" s="61">
        <v>2</v>
      </c>
      <c r="F14" s="61">
        <v>22</v>
      </c>
      <c r="K14" s="63">
        <v>120103.57</v>
      </c>
      <c r="O14" s="65"/>
      <c r="P14" s="9">
        <v>12</v>
      </c>
      <c r="Q14" s="9">
        <v>13</v>
      </c>
      <c r="R14" s="9" t="s">
        <v>29</v>
      </c>
      <c r="X14" s="9">
        <v>12</v>
      </c>
      <c r="Y14" s="9"/>
      <c r="Z14" s="9"/>
    </row>
    <row r="15" spans="1:26">
      <c r="A15" s="68"/>
      <c r="B15" s="68"/>
      <c r="C15" s="68"/>
      <c r="E15" s="61">
        <v>1.5</v>
      </c>
      <c r="F15" s="61">
        <v>24.9</v>
      </c>
      <c r="K15" s="63">
        <v>31449.94</v>
      </c>
      <c r="O15" s="65"/>
      <c r="P15" s="9">
        <v>13</v>
      </c>
      <c r="Q15" s="9">
        <v>13</v>
      </c>
      <c r="R15" s="9" t="s">
        <v>30</v>
      </c>
      <c r="X15" s="9">
        <v>13</v>
      </c>
      <c r="Y15" s="9"/>
      <c r="Z15" s="9"/>
    </row>
    <row r="16" spans="1:26">
      <c r="A16" s="68"/>
      <c r="B16" s="68"/>
      <c r="C16" s="68"/>
      <c r="E16" s="61">
        <v>1</v>
      </c>
      <c r="F16" s="61">
        <v>28.7</v>
      </c>
      <c r="K16" s="63">
        <v>171011.31</v>
      </c>
      <c r="O16" s="65"/>
      <c r="P16" s="9">
        <v>14</v>
      </c>
      <c r="Q16" s="9">
        <v>13</v>
      </c>
      <c r="R16" s="9" t="s">
        <v>31</v>
      </c>
      <c r="X16" s="9">
        <v>14</v>
      </c>
      <c r="Y16" s="9"/>
      <c r="Z16" s="9"/>
    </row>
    <row r="17" spans="1:26">
      <c r="A17" s="68"/>
      <c r="B17" s="68"/>
      <c r="C17" s="68"/>
      <c r="E17" s="61"/>
      <c r="F17" s="61"/>
      <c r="K17" s="63">
        <v>47542.14</v>
      </c>
      <c r="O17" s="65"/>
      <c r="P17" s="9">
        <v>15</v>
      </c>
      <c r="Q17" s="9">
        <v>14</v>
      </c>
      <c r="R17" s="9" t="s">
        <v>28</v>
      </c>
      <c r="X17" s="9">
        <v>15</v>
      </c>
      <c r="Y17" s="9"/>
      <c r="Z17" s="9"/>
    </row>
    <row r="18" spans="1:26">
      <c r="A18" s="68"/>
      <c r="B18" s="68"/>
      <c r="C18" s="68"/>
      <c r="E18" s="61"/>
      <c r="F18" s="61"/>
      <c r="K18" s="63">
        <v>9143.7800000000007</v>
      </c>
      <c r="O18" s="65"/>
      <c r="P18" s="9">
        <v>16</v>
      </c>
      <c r="Q18" s="9">
        <v>14</v>
      </c>
      <c r="R18" s="9" t="s">
        <v>29</v>
      </c>
      <c r="X18" s="9">
        <v>16</v>
      </c>
      <c r="Y18" s="9"/>
      <c r="Z18" s="9"/>
    </row>
    <row r="19" spans="1:26">
      <c r="A19" s="68"/>
      <c r="B19" s="68"/>
      <c r="C19" s="68"/>
      <c r="E19" s="61"/>
      <c r="F19" s="61"/>
      <c r="K19" s="63">
        <v>171700.92</v>
      </c>
      <c r="O19" s="65"/>
      <c r="P19" s="9">
        <v>17</v>
      </c>
      <c r="Q19" s="9">
        <v>14</v>
      </c>
      <c r="R19" s="9" t="s">
        <v>30</v>
      </c>
      <c r="X19" s="9">
        <v>17</v>
      </c>
      <c r="Y19" s="9"/>
      <c r="Z19" s="9"/>
    </row>
    <row r="20" spans="1:26">
      <c r="A20" s="68"/>
      <c r="B20" s="68"/>
      <c r="C20" s="68"/>
      <c r="E20" s="61"/>
      <c r="F20" s="61"/>
      <c r="K20" s="63">
        <v>44866.38</v>
      </c>
      <c r="O20" s="65"/>
      <c r="P20" s="9">
        <v>18</v>
      </c>
      <c r="Q20" s="9">
        <v>14</v>
      </c>
      <c r="R20" s="9" t="s">
        <v>31</v>
      </c>
      <c r="X20" s="9">
        <v>18</v>
      </c>
      <c r="Y20" s="9"/>
      <c r="Z20" s="9"/>
    </row>
    <row r="21" spans="1:26">
      <c r="E21" s="61"/>
      <c r="F21" s="61"/>
      <c r="K21" s="63">
        <v>9637.33</v>
      </c>
      <c r="O21" s="65"/>
      <c r="P21" s="9">
        <v>19</v>
      </c>
      <c r="Q21" s="9" t="s">
        <v>16</v>
      </c>
      <c r="R21" s="9"/>
      <c r="X21" s="9">
        <v>19</v>
      </c>
      <c r="Y21" s="9"/>
      <c r="Z21" s="9"/>
    </row>
    <row r="22" spans="1:26">
      <c r="E22" s="61"/>
      <c r="F22" s="61"/>
      <c r="K22" s="63">
        <v>112697.43</v>
      </c>
      <c r="O22" s="65"/>
      <c r="P22" s="9">
        <v>20</v>
      </c>
      <c r="Q22" s="9" t="s">
        <v>10</v>
      </c>
      <c r="R22" s="9"/>
      <c r="X22" s="9">
        <v>20</v>
      </c>
      <c r="Y22" s="9"/>
      <c r="Z22" s="9"/>
    </row>
    <row r="23" spans="1:26">
      <c r="E23" s="61"/>
      <c r="F23" s="61"/>
      <c r="K23" s="63">
        <v>218660.75</v>
      </c>
    </row>
    <row r="24" spans="1:26" ht="14.4" customHeight="1">
      <c r="E24" s="61"/>
      <c r="F24" s="61"/>
      <c r="K24" s="63">
        <v>155852.12</v>
      </c>
    </row>
    <row r="25" spans="1:26">
      <c r="E25" s="61"/>
      <c r="F25" s="61"/>
      <c r="K25" s="63">
        <v>4855.5600000000004</v>
      </c>
    </row>
    <row r="26" spans="1:26">
      <c r="E26" s="61"/>
      <c r="F26" s="61"/>
      <c r="K26" s="63">
        <v>49032.97</v>
      </c>
    </row>
    <row r="27" spans="1:26">
      <c r="E27" s="61"/>
      <c r="F27" s="61"/>
      <c r="K27" s="63">
        <v>19333.740000000002</v>
      </c>
    </row>
    <row r="28" spans="1:26">
      <c r="E28" s="61"/>
      <c r="F28" s="61"/>
      <c r="K28" s="63">
        <v>2894.13</v>
      </c>
    </row>
    <row r="29" spans="1:26" ht="14.4" customHeight="1">
      <c r="E29" s="61"/>
      <c r="F29" s="61"/>
      <c r="K29" s="63">
        <v>2249.96</v>
      </c>
    </row>
    <row r="30" spans="1:26">
      <c r="E30" s="61"/>
      <c r="F30" s="61"/>
      <c r="K30" s="63">
        <v>25058.34</v>
      </c>
    </row>
    <row r="31" spans="1:26">
      <c r="E31" s="61"/>
      <c r="F31" s="61"/>
      <c r="K31" s="63">
        <v>1740.53</v>
      </c>
    </row>
    <row r="32" spans="1:26">
      <c r="E32" s="61"/>
      <c r="F32" s="61"/>
      <c r="K32" s="63">
        <v>1364.77</v>
      </c>
    </row>
    <row r="33" spans="5:11">
      <c r="E33" s="61"/>
      <c r="F33" s="61"/>
      <c r="K33" s="63">
        <v>1678.97</v>
      </c>
    </row>
    <row r="34" spans="5:11">
      <c r="E34" s="61"/>
      <c r="F34" s="61"/>
      <c r="K34" s="63">
        <v>2023.19</v>
      </c>
    </row>
    <row r="35" spans="5:11">
      <c r="E35" s="61"/>
      <c r="F35" s="61"/>
      <c r="K35" s="63">
        <v>2105.7800000000002</v>
      </c>
    </row>
    <row r="36" spans="5:11">
      <c r="E36" s="61"/>
      <c r="F36" s="61"/>
      <c r="K36" s="63">
        <v>3324.74</v>
      </c>
    </row>
    <row r="37" spans="5:11">
      <c r="E37" s="61"/>
      <c r="F37" s="61"/>
      <c r="K37" s="63">
        <v>3819.5</v>
      </c>
    </row>
    <row r="38" spans="5:11">
      <c r="E38" s="61"/>
      <c r="F38" s="61"/>
      <c r="K38" s="63">
        <v>3679.51</v>
      </c>
    </row>
    <row r="39" spans="5:11">
      <c r="E39" s="61"/>
      <c r="F39" s="61"/>
      <c r="K39" s="63">
        <v>4241.13</v>
      </c>
    </row>
    <row r="40" spans="5:11">
      <c r="E40" s="61"/>
      <c r="F40" s="61"/>
      <c r="K40" s="63">
        <v>5277.15</v>
      </c>
    </row>
    <row r="41" spans="5:11">
      <c r="E41" s="61"/>
      <c r="F41" s="61"/>
      <c r="K41" s="63">
        <v>4381.7</v>
      </c>
    </row>
    <row r="42" spans="5:11">
      <c r="E42" s="61"/>
      <c r="F42" s="61"/>
      <c r="K42" s="63">
        <v>4913.3500000000004</v>
      </c>
    </row>
    <row r="43" spans="5:11">
      <c r="E43" s="61"/>
      <c r="F43" s="61"/>
      <c r="K43" s="63">
        <v>3945.13</v>
      </c>
    </row>
    <row r="44" spans="5:11">
      <c r="E44" s="61"/>
      <c r="F44" s="61"/>
      <c r="K44" s="63">
        <v>4334.24</v>
      </c>
    </row>
    <row r="45" spans="5:11">
      <c r="E45" s="61"/>
      <c r="F45" s="61"/>
      <c r="K45" s="63">
        <v>3255.92</v>
      </c>
    </row>
    <row r="46" spans="5:11">
      <c r="E46" s="61"/>
      <c r="F46" s="61"/>
      <c r="K46" s="63">
        <v>4157.46</v>
      </c>
    </row>
    <row r="47" spans="5:11">
      <c r="E47" s="61"/>
      <c r="F47" s="61"/>
      <c r="K47" s="63">
        <v>2598.86</v>
      </c>
    </row>
    <row r="48" spans="5:11">
      <c r="E48" s="61"/>
      <c r="F48" s="61"/>
      <c r="K48" s="63">
        <v>1793.94</v>
      </c>
    </row>
    <row r="49" spans="5:11">
      <c r="E49" s="61"/>
      <c r="F49" s="61"/>
      <c r="K49" s="63">
        <v>3018.64</v>
      </c>
    </row>
    <row r="50" spans="5:11">
      <c r="E50" s="61"/>
      <c r="F50" s="61"/>
      <c r="K50" s="63">
        <v>2001.68</v>
      </c>
    </row>
    <row r="51" spans="5:11">
      <c r="K51" s="63">
        <v>1955.85</v>
      </c>
    </row>
    <row r="52" spans="5:11">
      <c r="K52" s="63">
        <v>2732.14</v>
      </c>
    </row>
    <row r="53" spans="5:11">
      <c r="K53" s="63">
        <v>4522.43</v>
      </c>
    </row>
    <row r="54" spans="5:11">
      <c r="K54" s="63">
        <v>3587.58</v>
      </c>
    </row>
    <row r="55" spans="5:11">
      <c r="K55" s="63">
        <v>1499.2</v>
      </c>
    </row>
    <row r="56" spans="5:11">
      <c r="K56" s="63">
        <v>2250.38</v>
      </c>
    </row>
    <row r="57" spans="5:11">
      <c r="K57" s="63">
        <v>1805.66</v>
      </c>
    </row>
    <row r="58" spans="5:11">
      <c r="K58" s="63">
        <v>1330.79</v>
      </c>
    </row>
    <row r="59" spans="5:11">
      <c r="K59" s="63">
        <v>1113.48</v>
      </c>
    </row>
    <row r="60" spans="5:11">
      <c r="K60" s="63">
        <v>1354.69</v>
      </c>
    </row>
    <row r="61" spans="5:11">
      <c r="K61" s="63">
        <v>988.91</v>
      </c>
    </row>
    <row r="62" spans="5:11">
      <c r="K62" s="63">
        <v>8381.18</v>
      </c>
    </row>
    <row r="63" spans="5:11">
      <c r="K63" s="63">
        <v>10005.23</v>
      </c>
    </row>
    <row r="64" spans="5:11">
      <c r="K64" s="63">
        <v>9675.86</v>
      </c>
    </row>
    <row r="65" spans="11:11">
      <c r="K65" s="63">
        <v>10625.05</v>
      </c>
    </row>
    <row r="66" spans="11:11">
      <c r="K66" s="63">
        <v>15453.09</v>
      </c>
    </row>
    <row r="67" spans="11:11">
      <c r="K67" s="63">
        <v>32072.87</v>
      </c>
    </row>
    <row r="68" spans="11:11">
      <c r="K68" s="63">
        <v>69089.06</v>
      </c>
    </row>
    <row r="69" spans="11:11">
      <c r="K69" s="63">
        <v>102660.6</v>
      </c>
    </row>
    <row r="70" spans="11:11">
      <c r="K70" s="63">
        <v>99516.52</v>
      </c>
    </row>
    <row r="71" spans="11:11">
      <c r="K71" s="63">
        <v>80399.44</v>
      </c>
    </row>
    <row r="72" spans="11:11">
      <c r="K72" s="63">
        <v>58073.63</v>
      </c>
    </row>
    <row r="73" spans="11:11">
      <c r="K73" s="63">
        <v>42777.51</v>
      </c>
    </row>
    <row r="74" spans="11:11">
      <c r="K74" s="63">
        <v>31157.87</v>
      </c>
    </row>
    <row r="75" spans="11:11">
      <c r="K75" s="63">
        <v>22304.81</v>
      </c>
    </row>
    <row r="76" spans="11:11">
      <c r="K76" s="63">
        <v>18365.740000000002</v>
      </c>
    </row>
    <row r="77" spans="11:11">
      <c r="K77" s="63">
        <v>14406.71</v>
      </c>
    </row>
    <row r="78" spans="11:11">
      <c r="K78" s="63">
        <v>11540.22</v>
      </c>
    </row>
    <row r="79" spans="11:11">
      <c r="K79" s="63">
        <v>10143.36</v>
      </c>
    </row>
    <row r="80" spans="11:11">
      <c r="K80" s="63">
        <v>8692.57</v>
      </c>
    </row>
    <row r="81" spans="11:11">
      <c r="K81" s="63">
        <v>7219.2</v>
      </c>
    </row>
    <row r="82" spans="11:11">
      <c r="K82" s="63">
        <v>6428.8</v>
      </c>
    </row>
    <row r="83" spans="11:11">
      <c r="K83" s="63">
        <v>6259.32</v>
      </c>
    </row>
    <row r="84" spans="11:11">
      <c r="K84" s="63">
        <v>7202.28</v>
      </c>
    </row>
    <row r="85" spans="11:11">
      <c r="K85" s="63">
        <v>6889.07</v>
      </c>
    </row>
    <row r="86" spans="11:11">
      <c r="K86" s="63">
        <v>5172.8900000000003</v>
      </c>
    </row>
    <row r="87" spans="11:11">
      <c r="K87" s="63">
        <v>6734.68</v>
      </c>
    </row>
    <row r="88" spans="11:11">
      <c r="K88" s="63">
        <v>7829.81</v>
      </c>
    </row>
    <row r="89" spans="11:11">
      <c r="K89" s="63">
        <v>5368.06</v>
      </c>
    </row>
    <row r="90" spans="11:11">
      <c r="K90" s="63">
        <v>3581.66</v>
      </c>
    </row>
    <row r="91" spans="11:11">
      <c r="K91" s="63">
        <v>3730.77</v>
      </c>
    </row>
    <row r="92" spans="11:11">
      <c r="K92" s="63">
        <v>3658.83</v>
      </c>
    </row>
    <row r="93" spans="11:11">
      <c r="K93" s="63">
        <v>5235.42</v>
      </c>
    </row>
    <row r="94" spans="11:11">
      <c r="K94" s="63">
        <v>6220.82</v>
      </c>
    </row>
    <row r="95" spans="11:11">
      <c r="K95" s="63">
        <v>6037.56</v>
      </c>
    </row>
    <row r="96" spans="11:11">
      <c r="K96" s="63">
        <v>9504.83</v>
      </c>
    </row>
    <row r="97" spans="11:11">
      <c r="K97" s="63">
        <v>15166.1</v>
      </c>
    </row>
    <row r="98" spans="11:11">
      <c r="K98" s="63">
        <v>29879.77</v>
      </c>
    </row>
    <row r="99" spans="11:11">
      <c r="K99" s="63">
        <v>39442.28</v>
      </c>
    </row>
    <row r="100" spans="11:11">
      <c r="K100" s="63">
        <v>42655.61</v>
      </c>
    </row>
    <row r="101" spans="11:11">
      <c r="K101" s="63">
        <v>41549.19</v>
      </c>
    </row>
    <row r="102" spans="11:11">
      <c r="K102" s="63">
        <v>37738.01</v>
      </c>
    </row>
    <row r="103" spans="11:11">
      <c r="K103" s="63">
        <v>37065.22</v>
      </c>
    </row>
    <row r="104" spans="11:11">
      <c r="K104" s="63">
        <v>30766.93</v>
      </c>
    </row>
    <row r="105" spans="11:11">
      <c r="K105" s="63">
        <v>29488.51</v>
      </c>
    </row>
    <row r="106" spans="11:11">
      <c r="K106" s="63">
        <v>27840.240000000002</v>
      </c>
    </row>
    <row r="107" spans="11:11">
      <c r="K107" s="63">
        <v>23856.09</v>
      </c>
    </row>
    <row r="108" spans="11:11">
      <c r="K108" s="63">
        <v>21224.49</v>
      </c>
    </row>
    <row r="109" spans="11:11">
      <c r="K109" s="63">
        <v>19168.599999999999</v>
      </c>
    </row>
    <row r="110" spans="11:11">
      <c r="K110" s="63">
        <v>16049.4</v>
      </c>
    </row>
    <row r="111" spans="11:11">
      <c r="K111" s="63">
        <v>11961.19</v>
      </c>
    </row>
    <row r="112" spans="11:11">
      <c r="K112" s="63">
        <v>9421.69</v>
      </c>
    </row>
    <row r="113" spans="11:11">
      <c r="K113" s="63">
        <v>8244.51</v>
      </c>
    </row>
    <row r="114" spans="11:11">
      <c r="K114" s="63">
        <v>7934.18</v>
      </c>
    </row>
    <row r="115" spans="11:11">
      <c r="K115" s="63">
        <v>7699.91</v>
      </c>
    </row>
    <row r="116" spans="11:11">
      <c r="K116" s="63">
        <v>5631.51</v>
      </c>
    </row>
    <row r="117" spans="11:11">
      <c r="K117" s="63">
        <v>7667.55</v>
      </c>
    </row>
    <row r="118" spans="11:11">
      <c r="K118" s="63">
        <v>8967.58</v>
      </c>
    </row>
    <row r="119" spans="11:11">
      <c r="K119" s="63">
        <v>7604.22</v>
      </c>
    </row>
    <row r="120" spans="11:11">
      <c r="K120" s="63">
        <v>4113.71</v>
      </c>
    </row>
    <row r="121" spans="11:11">
      <c r="K121" s="63">
        <v>4637.29</v>
      </c>
    </row>
    <row r="122" spans="11:11">
      <c r="K122" s="63">
        <v>2550.41</v>
      </c>
    </row>
    <row r="123" spans="11:11">
      <c r="K123" s="63">
        <v>3622.8</v>
      </c>
    </row>
    <row r="124" spans="11:11">
      <c r="K124" s="63">
        <v>4590.76</v>
      </c>
    </row>
    <row r="125" spans="11:11">
      <c r="K125" s="63">
        <v>6778.84</v>
      </c>
    </row>
    <row r="126" spans="11:11">
      <c r="K126" s="63">
        <v>6105.66</v>
      </c>
    </row>
    <row r="127" spans="11:11">
      <c r="K127" s="63">
        <v>10010.790000000001</v>
      </c>
    </row>
    <row r="128" spans="11:11">
      <c r="K128" s="63">
        <v>16386.91</v>
      </c>
    </row>
    <row r="129" spans="11:11">
      <c r="K129" s="63">
        <v>19185.86</v>
      </c>
    </row>
    <row r="130" spans="11:11">
      <c r="K130" s="63">
        <v>22647.75</v>
      </c>
    </row>
    <row r="131" spans="11:11">
      <c r="K131" s="63">
        <v>26359</v>
      </c>
    </row>
    <row r="132" spans="11:11">
      <c r="K132" s="63">
        <v>27006.94</v>
      </c>
    </row>
    <row r="133" spans="11:11">
      <c r="K133" s="63">
        <v>28715.46</v>
      </c>
    </row>
    <row r="134" spans="11:11">
      <c r="K134" s="63">
        <v>27362.52</v>
      </c>
    </row>
    <row r="135" spans="11:11">
      <c r="K135" s="63">
        <v>26849.79</v>
      </c>
    </row>
    <row r="136" spans="11:11">
      <c r="K136" s="63">
        <v>24379.78</v>
      </c>
    </row>
    <row r="137" spans="11:11">
      <c r="K137" s="63">
        <v>20611.62</v>
      </c>
    </row>
    <row r="138" spans="11:11">
      <c r="K138" s="63">
        <v>18084.97</v>
      </c>
    </row>
    <row r="139" spans="11:11">
      <c r="K139" s="63">
        <v>15198.5</v>
      </c>
    </row>
    <row r="140" spans="11:11">
      <c r="K140" s="63">
        <v>13790.92</v>
      </c>
    </row>
    <row r="141" spans="11:11">
      <c r="K141" s="63">
        <v>10308.75</v>
      </c>
    </row>
    <row r="142" spans="11:11">
      <c r="K142" s="63">
        <v>8639.68</v>
      </c>
    </row>
    <row r="143" spans="11:11">
      <c r="K143" s="63">
        <v>7142.43</v>
      </c>
    </row>
    <row r="144" spans="11:11">
      <c r="K144" s="63">
        <v>7877.94</v>
      </c>
    </row>
    <row r="145" spans="11:11">
      <c r="K145" s="63">
        <v>7549.57</v>
      </c>
    </row>
    <row r="146" spans="11:11">
      <c r="K146" s="63">
        <v>4901.16</v>
      </c>
    </row>
    <row r="147" spans="11:11">
      <c r="K147" s="63">
        <v>7024.14</v>
      </c>
    </row>
    <row r="148" spans="11:11">
      <c r="K148" s="63">
        <v>7823.34</v>
      </c>
    </row>
    <row r="149" spans="11:11">
      <c r="K149" s="63">
        <v>6363.34</v>
      </c>
    </row>
    <row r="150" spans="11:11">
      <c r="K150" s="63">
        <v>4470.0600000000004</v>
      </c>
    </row>
    <row r="151" spans="11:11">
      <c r="K151" s="63">
        <v>4698.8900000000003</v>
      </c>
    </row>
    <row r="152" spans="11:11">
      <c r="K152" s="63">
        <v>16184.72</v>
      </c>
    </row>
    <row r="153" spans="11:11">
      <c r="K153" s="63">
        <v>16956.61</v>
      </c>
    </row>
    <row r="154" spans="11:11">
      <c r="K154" s="63">
        <v>18164.16</v>
      </c>
    </row>
    <row r="155" spans="11:11">
      <c r="K155" s="63">
        <v>21001.05</v>
      </c>
    </row>
    <row r="156" spans="11:11">
      <c r="K156" s="63">
        <v>26772.01</v>
      </c>
    </row>
    <row r="157" spans="11:11">
      <c r="K157" s="63">
        <v>67351.37</v>
      </c>
    </row>
    <row r="158" spans="11:11">
      <c r="K158" s="63">
        <v>133023.18</v>
      </c>
    </row>
    <row r="159" spans="11:11">
      <c r="K159" s="63">
        <v>146090.14000000001</v>
      </c>
    </row>
    <row r="160" spans="11:11">
      <c r="K160" s="63">
        <v>112950.16</v>
      </c>
    </row>
    <row r="161" spans="11:11">
      <c r="K161" s="63">
        <v>71445.84</v>
      </c>
    </row>
    <row r="162" spans="11:11">
      <c r="K162" s="63">
        <v>44331.21</v>
      </c>
    </row>
    <row r="163" spans="11:11">
      <c r="K163" s="63">
        <v>29393.98</v>
      </c>
    </row>
    <row r="164" spans="11:11">
      <c r="K164" s="63">
        <v>19006.34</v>
      </c>
    </row>
    <row r="165" spans="11:11">
      <c r="K165" s="63">
        <v>12631.04</v>
      </c>
    </row>
    <row r="166" spans="11:11">
      <c r="K166" s="63">
        <v>10326.73</v>
      </c>
    </row>
    <row r="167" spans="11:11">
      <c r="K167" s="63">
        <v>7909.87</v>
      </c>
    </row>
    <row r="168" spans="11:11">
      <c r="K168" s="63">
        <v>7278.86</v>
      </c>
    </row>
    <row r="169" spans="11:11">
      <c r="K169" s="63">
        <v>6073.66</v>
      </c>
    </row>
    <row r="170" spans="11:11">
      <c r="K170" s="63">
        <v>5463.33</v>
      </c>
    </row>
    <row r="171" spans="11:11">
      <c r="K171" s="63">
        <v>4893.6000000000004</v>
      </c>
    </row>
    <row r="172" spans="11:11">
      <c r="K172" s="63">
        <v>5359.91</v>
      </c>
    </row>
    <row r="173" spans="11:11">
      <c r="K173" s="63">
        <v>4935.97</v>
      </c>
    </row>
    <row r="174" spans="11:11">
      <c r="K174" s="63">
        <v>6567.86</v>
      </c>
    </row>
    <row r="175" spans="11:11">
      <c r="K175" s="63">
        <v>6709.1</v>
      </c>
    </row>
    <row r="176" spans="11:11">
      <c r="K176" s="63">
        <v>5194.5</v>
      </c>
    </row>
    <row r="177" spans="11:11">
      <c r="K177" s="63">
        <v>7885.47</v>
      </c>
    </row>
    <row r="178" spans="11:11">
      <c r="K178" s="63">
        <v>8025.62</v>
      </c>
    </row>
    <row r="179" spans="11:11">
      <c r="K179" s="63">
        <v>6739.47</v>
      </c>
    </row>
    <row r="180" spans="11:11">
      <c r="K180" s="63">
        <v>4780.26</v>
      </c>
    </row>
    <row r="181" spans="11:11">
      <c r="K181" s="63">
        <v>4657.43</v>
      </c>
    </row>
    <row r="182" spans="11:11">
      <c r="K182" s="63">
        <v>6204.3</v>
      </c>
    </row>
    <row r="183" spans="11:11">
      <c r="K183" s="63">
        <v>5711.88</v>
      </c>
    </row>
    <row r="184" spans="11:11">
      <c r="K184" s="63">
        <v>7310.9</v>
      </c>
    </row>
    <row r="185" spans="11:11">
      <c r="K185" s="63">
        <v>11018.75</v>
      </c>
    </row>
    <row r="186" spans="11:11">
      <c r="K186" s="63">
        <v>11635.23</v>
      </c>
    </row>
    <row r="187" spans="11:11">
      <c r="K187" s="63">
        <v>23297.65</v>
      </c>
    </row>
    <row r="188" spans="11:11">
      <c r="K188" s="63">
        <v>40872.43</v>
      </c>
    </row>
    <row r="189" spans="11:11">
      <c r="K189" s="63">
        <v>62575.64</v>
      </c>
    </row>
    <row r="190" spans="11:11">
      <c r="K190" s="63">
        <v>69326.91</v>
      </c>
    </row>
    <row r="191" spans="11:11">
      <c r="K191" s="63">
        <v>60222.86</v>
      </c>
    </row>
    <row r="192" spans="11:11">
      <c r="K192" s="63">
        <v>48189.56</v>
      </c>
    </row>
    <row r="193" spans="11:11">
      <c r="K193" s="63">
        <v>35150.83</v>
      </c>
    </row>
    <row r="194" spans="11:11">
      <c r="K194" s="63">
        <v>24271.95</v>
      </c>
    </row>
    <row r="195" spans="11:11">
      <c r="K195" s="63">
        <v>18009.240000000002</v>
      </c>
    </row>
    <row r="196" spans="11:11">
      <c r="K196" s="63">
        <v>13210.44</v>
      </c>
    </row>
    <row r="197" spans="11:11">
      <c r="K197" s="63">
        <v>10163.23</v>
      </c>
    </row>
    <row r="198" spans="11:11">
      <c r="K198" s="63">
        <v>7463.58</v>
      </c>
    </row>
    <row r="199" spans="11:11">
      <c r="K199" s="63">
        <v>6074.02</v>
      </c>
    </row>
    <row r="200" spans="11:11">
      <c r="K200" s="63">
        <v>5462.37</v>
      </c>
    </row>
    <row r="201" spans="11:11">
      <c r="K201" s="63">
        <v>4101.71</v>
      </c>
    </row>
    <row r="202" spans="11:11">
      <c r="K202" s="63">
        <v>4001.21</v>
      </c>
    </row>
    <row r="203" spans="11:11">
      <c r="K203" s="63">
        <v>4267.04</v>
      </c>
    </row>
    <row r="204" spans="11:11">
      <c r="K204" s="63">
        <v>6416.23</v>
      </c>
    </row>
    <row r="205" spans="11:11">
      <c r="K205" s="63">
        <v>4206.03</v>
      </c>
    </row>
    <row r="206" spans="11:11">
      <c r="K206" s="63">
        <v>4222.71</v>
      </c>
    </row>
    <row r="207" spans="11:11">
      <c r="K207" s="63">
        <v>8680.31</v>
      </c>
    </row>
    <row r="208" spans="11:11">
      <c r="K208" s="63">
        <v>6810.55</v>
      </c>
    </row>
    <row r="209" spans="11:11">
      <c r="K209" s="63">
        <v>5846.63</v>
      </c>
    </row>
    <row r="210" spans="11:11">
      <c r="K210" s="63">
        <v>5016.71</v>
      </c>
    </row>
    <row r="211" spans="11:11">
      <c r="K211" s="63">
        <v>4464.32</v>
      </c>
    </row>
    <row r="212" spans="11:11">
      <c r="K212" s="63">
        <v>4009.8</v>
      </c>
    </row>
    <row r="213" spans="11:11">
      <c r="K213" s="63">
        <v>4200.53</v>
      </c>
    </row>
    <row r="214" spans="11:11">
      <c r="K214" s="63">
        <v>4741.75</v>
      </c>
    </row>
    <row r="215" spans="11:11">
      <c r="K215" s="63">
        <v>5499.9</v>
      </c>
    </row>
    <row r="216" spans="11:11">
      <c r="K216" s="63">
        <v>7060.09</v>
      </c>
    </row>
    <row r="217" spans="11:11">
      <c r="K217" s="63">
        <v>11227.14</v>
      </c>
    </row>
    <row r="218" spans="11:11">
      <c r="K218" s="63">
        <v>19011.400000000001</v>
      </c>
    </row>
    <row r="219" spans="11:11">
      <c r="K219" s="63">
        <v>25876.49</v>
      </c>
    </row>
    <row r="220" spans="11:11">
      <c r="K220" s="63">
        <v>27111.67</v>
      </c>
    </row>
    <row r="221" spans="11:11">
      <c r="K221" s="63">
        <v>28528.58</v>
      </c>
    </row>
    <row r="222" spans="11:11">
      <c r="K222" s="63">
        <v>28007.93</v>
      </c>
    </row>
    <row r="223" spans="11:11">
      <c r="K223" s="63">
        <v>29240</v>
      </c>
    </row>
    <row r="224" spans="11:11">
      <c r="K224" s="63">
        <v>29667.48</v>
      </c>
    </row>
    <row r="225" spans="11:11">
      <c r="K225" s="63">
        <v>30222.47</v>
      </c>
    </row>
    <row r="226" spans="11:11">
      <c r="K226" s="63">
        <v>30721.96</v>
      </c>
    </row>
    <row r="227" spans="11:11">
      <c r="K227" s="63">
        <v>28407.45</v>
      </c>
    </row>
    <row r="228" spans="11:11">
      <c r="K228" s="63">
        <v>23010.7</v>
      </c>
    </row>
    <row r="229" spans="11:11">
      <c r="K229" s="63">
        <v>18232.939999999999</v>
      </c>
    </row>
    <row r="230" spans="11:11">
      <c r="K230" s="63">
        <v>15046.8</v>
      </c>
    </row>
    <row r="231" spans="11:11">
      <c r="K231" s="63">
        <v>11733.38</v>
      </c>
    </row>
    <row r="232" spans="11:11">
      <c r="K232" s="63">
        <v>9075.5300000000007</v>
      </c>
    </row>
    <row r="233" spans="11:11">
      <c r="K233" s="63">
        <v>7509.91</v>
      </c>
    </row>
    <row r="234" spans="11:11">
      <c r="K234" s="63">
        <v>9409.32</v>
      </c>
    </row>
    <row r="235" spans="11:11">
      <c r="K235" s="63">
        <v>4986.4799999999996</v>
      </c>
    </row>
    <row r="236" spans="11:11">
      <c r="K236" s="63">
        <v>5510.1</v>
      </c>
    </row>
    <row r="237" spans="11:11">
      <c r="K237" s="63">
        <v>7889.51</v>
      </c>
    </row>
    <row r="238" spans="11:11">
      <c r="K238" s="63">
        <v>9123.9</v>
      </c>
    </row>
    <row r="239" spans="11:11">
      <c r="K239" s="63">
        <v>13157.42</v>
      </c>
    </row>
    <row r="240" spans="11:11">
      <c r="K240" s="63">
        <v>7868.95</v>
      </c>
    </row>
    <row r="241" spans="11:11">
      <c r="K241" s="63">
        <v>7144.58</v>
      </c>
    </row>
    <row r="242" spans="11:11">
      <c r="K242" s="63">
        <v>5406.54</v>
      </c>
    </row>
    <row r="243" spans="11:11">
      <c r="K243" s="63">
        <v>5833.51</v>
      </c>
    </row>
    <row r="244" spans="11:11">
      <c r="K244" s="63">
        <v>5899.97</v>
      </c>
    </row>
    <row r="245" spans="11:11">
      <c r="K245" s="63">
        <v>5917.8</v>
      </c>
    </row>
    <row r="246" spans="11:11">
      <c r="K246" s="63">
        <v>6693.49</v>
      </c>
    </row>
    <row r="247" spans="11:11">
      <c r="K247" s="63">
        <v>9761.07</v>
      </c>
    </row>
    <row r="248" spans="11:11">
      <c r="K248" s="63">
        <v>18193.73</v>
      </c>
    </row>
    <row r="249" spans="11:11">
      <c r="K249" s="63">
        <v>20981.72</v>
      </c>
    </row>
    <row r="250" spans="11:11">
      <c r="K250" s="63">
        <v>24038.22</v>
      </c>
    </row>
    <row r="251" spans="11:11">
      <c r="K251" s="63">
        <v>22380.1</v>
      </c>
    </row>
    <row r="252" spans="11:11">
      <c r="K252" s="63">
        <v>24029.77</v>
      </c>
    </row>
    <row r="253" spans="11:11">
      <c r="K253" s="63">
        <v>29340.13</v>
      </c>
    </row>
    <row r="254" spans="11:11">
      <c r="K254" s="63">
        <v>27882.71</v>
      </c>
    </row>
    <row r="255" spans="11:11">
      <c r="K255" s="63">
        <v>27600.48</v>
      </c>
    </row>
    <row r="256" spans="11:11">
      <c r="K256" s="63">
        <v>25901.97</v>
      </c>
    </row>
    <row r="257" spans="11:11">
      <c r="K257" s="63">
        <v>22267.3</v>
      </c>
    </row>
    <row r="258" spans="11:11">
      <c r="K258" s="63">
        <v>16649.16</v>
      </c>
    </row>
    <row r="259" spans="11:11">
      <c r="K259" s="63">
        <v>12451.7</v>
      </c>
    </row>
    <row r="260" spans="11:11">
      <c r="K260" s="63">
        <v>10443.719999999999</v>
      </c>
    </row>
    <row r="261" spans="11:11">
      <c r="K261" s="63">
        <v>8353.1200000000008</v>
      </c>
    </row>
    <row r="262" spans="11:11">
      <c r="K262" s="63">
        <v>6689.39</v>
      </c>
    </row>
    <row r="263" spans="11:11">
      <c r="K263" s="63">
        <v>5359.52</v>
      </c>
    </row>
    <row r="264" spans="11:11">
      <c r="K264" s="63">
        <v>7151.11</v>
      </c>
    </row>
    <row r="265" spans="11:11">
      <c r="K265" s="63">
        <v>4059.75</v>
      </c>
    </row>
    <row r="266" spans="11:11">
      <c r="K266" s="63">
        <v>4395.8500000000004</v>
      </c>
    </row>
    <row r="267" spans="11:11">
      <c r="K267" s="63">
        <v>5059.43</v>
      </c>
    </row>
    <row r="268" spans="11:11">
      <c r="K268" s="63">
        <v>7819.1</v>
      </c>
    </row>
    <row r="269" spans="11:11">
      <c r="K269" s="63">
        <v>7512.16</v>
      </c>
    </row>
    <row r="270" spans="11:11">
      <c r="K270" s="63">
        <v>6346.13</v>
      </c>
    </row>
    <row r="271" spans="11:11">
      <c r="K271" s="63">
        <v>6959.18</v>
      </c>
    </row>
    <row r="272" spans="11:11">
      <c r="K272" s="63">
        <v>11679.55</v>
      </c>
    </row>
    <row r="273" spans="11:11">
      <c r="K273" s="63">
        <v>11822.13</v>
      </c>
    </row>
    <row r="274" spans="11:11">
      <c r="K274" s="63">
        <v>12342.22</v>
      </c>
    </row>
    <row r="275" spans="11:11">
      <c r="K275" s="63">
        <v>12870.13</v>
      </c>
    </row>
    <row r="276" spans="11:11">
      <c r="K276" s="63">
        <v>19997.240000000002</v>
      </c>
    </row>
    <row r="277" spans="11:11">
      <c r="K277" s="63">
        <v>49131.27</v>
      </c>
    </row>
    <row r="278" spans="11:11">
      <c r="K278" s="63">
        <v>110253.67</v>
      </c>
    </row>
    <row r="279" spans="11:11">
      <c r="K279" s="63">
        <v>133358.38</v>
      </c>
    </row>
    <row r="280" spans="11:11">
      <c r="K280" s="63">
        <v>109999.64</v>
      </c>
    </row>
    <row r="281" spans="11:11">
      <c r="K281" s="63">
        <v>67847.09</v>
      </c>
    </row>
    <row r="282" spans="11:11">
      <c r="K282" s="63">
        <v>39478.870000000003</v>
      </c>
    </row>
    <row r="283" spans="11:11">
      <c r="K283" s="63">
        <v>21737.68</v>
      </c>
    </row>
    <row r="284" spans="11:11">
      <c r="K284" s="63">
        <v>13754.64</v>
      </c>
    </row>
    <row r="285" spans="11:11">
      <c r="K285" s="63">
        <v>9637.98</v>
      </c>
    </row>
    <row r="286" spans="11:11">
      <c r="K286" s="63">
        <v>8083.75</v>
      </c>
    </row>
    <row r="287" spans="11:11">
      <c r="K287" s="63">
        <v>6224.48</v>
      </c>
    </row>
    <row r="288" spans="11:11">
      <c r="K288" s="63">
        <v>5309.89</v>
      </c>
    </row>
    <row r="289" spans="11:11">
      <c r="K289" s="63">
        <v>4900.58</v>
      </c>
    </row>
    <row r="290" spans="11:11">
      <c r="K290" s="63">
        <v>4394.7700000000004</v>
      </c>
    </row>
    <row r="291" spans="11:11">
      <c r="K291" s="63">
        <v>4023.58</v>
      </c>
    </row>
    <row r="292" spans="11:11">
      <c r="K292" s="63">
        <v>3940.61</v>
      </c>
    </row>
    <row r="293" spans="11:11">
      <c r="K293" s="63">
        <v>3318.34</v>
      </c>
    </row>
    <row r="294" spans="11:11">
      <c r="K294" s="63">
        <v>5297.73</v>
      </c>
    </row>
    <row r="295" spans="11:11">
      <c r="K295" s="63">
        <v>3459.41</v>
      </c>
    </row>
    <row r="296" spans="11:11">
      <c r="K296" s="63">
        <v>3615.22</v>
      </c>
    </row>
    <row r="297" spans="11:11">
      <c r="K297" s="63">
        <v>3910.66</v>
      </c>
    </row>
    <row r="298" spans="11:11">
      <c r="K298" s="63">
        <v>5626.72</v>
      </c>
    </row>
    <row r="299" spans="11:11">
      <c r="K299" s="63">
        <v>5478.28</v>
      </c>
    </row>
    <row r="300" spans="11:11">
      <c r="K300" s="63">
        <v>5087.9799999999996</v>
      </c>
    </row>
    <row r="301" spans="11:11">
      <c r="K301" s="63">
        <v>4950.95</v>
      </c>
    </row>
    <row r="302" spans="11:11">
      <c r="K302" s="63">
        <v>7312.44</v>
      </c>
    </row>
    <row r="303" spans="11:11">
      <c r="K303" s="63">
        <v>7888.5</v>
      </c>
    </row>
    <row r="304" spans="11:11">
      <c r="K304" s="63">
        <v>8473.42</v>
      </c>
    </row>
    <row r="305" spans="11:11">
      <c r="K305" s="63">
        <v>10673.8</v>
      </c>
    </row>
    <row r="306" spans="11:11">
      <c r="K306" s="63">
        <v>16083.42</v>
      </c>
    </row>
    <row r="307" spans="11:11">
      <c r="K307" s="63">
        <v>43001.08</v>
      </c>
    </row>
    <row r="308" spans="11:11">
      <c r="K308" s="63">
        <v>90618.43</v>
      </c>
    </row>
    <row r="309" spans="11:11">
      <c r="K309" s="63">
        <v>80627.34</v>
      </c>
    </row>
    <row r="310" spans="11:11">
      <c r="K310" s="63">
        <v>74916.179999999993</v>
      </c>
    </row>
    <row r="311" spans="11:11">
      <c r="K311" s="63">
        <v>61027.66</v>
      </c>
    </row>
    <row r="312" spans="11:11">
      <c r="K312" s="63">
        <v>41418.89</v>
      </c>
    </row>
    <row r="313" spans="11:11">
      <c r="K313" s="63">
        <v>29655.93</v>
      </c>
    </row>
    <row r="314" spans="11:11">
      <c r="K314" s="63">
        <v>19410.34</v>
      </c>
    </row>
    <row r="315" spans="11:11">
      <c r="K315" s="63">
        <v>13489.36</v>
      </c>
    </row>
    <row r="316" spans="11:11">
      <c r="K316" s="63">
        <v>10747.19</v>
      </c>
    </row>
    <row r="317" spans="11:11">
      <c r="K317" s="63">
        <v>8689.57</v>
      </c>
    </row>
    <row r="318" spans="11:11">
      <c r="K318" s="63">
        <v>7072.31</v>
      </c>
    </row>
    <row r="319" spans="11:11">
      <c r="K319" s="63">
        <v>5821.39</v>
      </c>
    </row>
    <row r="320" spans="11:11">
      <c r="K320" s="63">
        <v>5020.8900000000003</v>
      </c>
    </row>
    <row r="321" spans="11:11">
      <c r="K321" s="63">
        <v>4356.93</v>
      </c>
    </row>
    <row r="322" spans="11:11">
      <c r="K322" s="63">
        <v>3725.75</v>
      </c>
    </row>
    <row r="323" spans="11:11">
      <c r="K323" s="63">
        <v>3331.07</v>
      </c>
    </row>
    <row r="324" spans="11:11">
      <c r="K324" s="63">
        <v>4983.83</v>
      </c>
    </row>
    <row r="325" spans="11:11">
      <c r="K325" s="63">
        <v>2951.74</v>
      </c>
    </row>
    <row r="326" spans="11:11">
      <c r="K326" s="63">
        <v>3105.49</v>
      </c>
    </row>
    <row r="327" spans="11:11">
      <c r="K327" s="63">
        <v>3414.81</v>
      </c>
    </row>
    <row r="328" spans="11:11">
      <c r="K328" s="63">
        <v>5628.03</v>
      </c>
    </row>
    <row r="329" spans="11:11">
      <c r="K329" s="63">
        <v>5081.4799999999996</v>
      </c>
    </row>
    <row r="330" spans="11:11">
      <c r="K330" s="63">
        <v>3558</v>
      </c>
    </row>
    <row r="331" spans="11:11">
      <c r="K331" s="63">
        <v>4665.7299999999996</v>
      </c>
    </row>
    <row r="332" spans="11:11">
      <c r="K332" s="63">
        <v>3374.69</v>
      </c>
    </row>
    <row r="333" spans="11:11">
      <c r="K333" s="63">
        <v>3508.65</v>
      </c>
    </row>
    <row r="334" spans="11:11">
      <c r="K334" s="63">
        <v>3976.02</v>
      </c>
    </row>
    <row r="335" spans="11:11">
      <c r="K335" s="63">
        <v>4888.34</v>
      </c>
    </row>
    <row r="336" spans="11:11">
      <c r="K336" s="63">
        <v>7763.86</v>
      </c>
    </row>
    <row r="337" spans="11:11">
      <c r="K337" s="63">
        <v>15696.28</v>
      </c>
    </row>
    <row r="338" spans="11:11">
      <c r="K338" s="63">
        <v>29325</v>
      </c>
    </row>
    <row r="339" spans="11:11">
      <c r="K339" s="63">
        <v>27526.19</v>
      </c>
    </row>
    <row r="340" spans="11:11">
      <c r="K340" s="63">
        <v>28096.97</v>
      </c>
    </row>
    <row r="341" spans="11:11">
      <c r="K341" s="63">
        <v>28108.48</v>
      </c>
    </row>
    <row r="342" spans="11:11">
      <c r="K342" s="63">
        <v>26400.58</v>
      </c>
    </row>
    <row r="343" spans="11:11">
      <c r="K343" s="63">
        <v>25296.26</v>
      </c>
    </row>
    <row r="344" spans="11:11">
      <c r="K344" s="63">
        <v>23135.24</v>
      </c>
    </row>
    <row r="345" spans="11:11">
      <c r="K345" s="63">
        <v>22491.759999999998</v>
      </c>
    </row>
    <row r="346" spans="11:11">
      <c r="K346" s="63">
        <v>20580.48</v>
      </c>
    </row>
    <row r="347" spans="11:11">
      <c r="K347" s="63">
        <v>18548.23</v>
      </c>
    </row>
    <row r="348" spans="11:11">
      <c r="K348" s="63">
        <v>16179.34</v>
      </c>
    </row>
    <row r="349" spans="11:11">
      <c r="K349" s="63">
        <v>14928.29</v>
      </c>
    </row>
    <row r="350" spans="11:11">
      <c r="K350" s="63">
        <v>12376.15</v>
      </c>
    </row>
    <row r="351" spans="11:11">
      <c r="K351" s="63">
        <v>10346.77</v>
      </c>
    </row>
    <row r="352" spans="11:11">
      <c r="K352" s="63">
        <v>8590.07</v>
      </c>
    </row>
    <row r="353" spans="11:11">
      <c r="K353" s="63">
        <v>6426.32</v>
      </c>
    </row>
    <row r="354" spans="11:11">
      <c r="K354" s="63">
        <v>7896.97</v>
      </c>
    </row>
    <row r="355" spans="11:11">
      <c r="K355" s="63">
        <v>4353.1000000000004</v>
      </c>
    </row>
    <row r="356" spans="11:11">
      <c r="K356" s="63">
        <v>4275.37</v>
      </c>
    </row>
    <row r="357" spans="11:11">
      <c r="K357" s="63">
        <v>4757.2700000000004</v>
      </c>
    </row>
    <row r="358" spans="11:11">
      <c r="K358" s="63">
        <v>7026.52</v>
      </c>
    </row>
    <row r="359" spans="11:11">
      <c r="K359" s="63">
        <v>6375.61</v>
      </c>
    </row>
    <row r="360" spans="11:11">
      <c r="K360" s="63">
        <v>4251.59</v>
      </c>
    </row>
    <row r="361" spans="11:11">
      <c r="K361" s="63">
        <v>6434.42</v>
      </c>
    </row>
    <row r="362" spans="11:11">
      <c r="K362" s="63">
        <v>2852.39</v>
      </c>
    </row>
    <row r="363" spans="11:11">
      <c r="K363" s="63">
        <v>2853.92</v>
      </c>
    </row>
    <row r="364" spans="11:11">
      <c r="K364" s="63">
        <v>3356.72</v>
      </c>
    </row>
    <row r="365" spans="11:11">
      <c r="K365" s="63">
        <v>4000.79</v>
      </c>
    </row>
    <row r="366" spans="11:11">
      <c r="K366" s="63">
        <v>5304.6</v>
      </c>
    </row>
    <row r="367" spans="11:11">
      <c r="K367" s="63">
        <v>9504.59</v>
      </c>
    </row>
    <row r="368" spans="11:11">
      <c r="K368" s="63">
        <v>19899.099999999999</v>
      </c>
    </row>
    <row r="369" spans="11:11">
      <c r="K369" s="63">
        <v>28528.91</v>
      </c>
    </row>
    <row r="370" spans="11:11">
      <c r="K370" s="63">
        <v>28919.9</v>
      </c>
    </row>
    <row r="371" spans="11:11">
      <c r="K371" s="63">
        <v>29494.11</v>
      </c>
    </row>
    <row r="372" spans="11:11">
      <c r="K372" s="63">
        <v>30169.48</v>
      </c>
    </row>
    <row r="373" spans="11:11">
      <c r="K373" s="63">
        <v>28197.31</v>
      </c>
    </row>
    <row r="374" spans="11:11">
      <c r="K374" s="63">
        <v>25679.75</v>
      </c>
    </row>
    <row r="375" spans="11:11">
      <c r="K375" s="63">
        <v>25643.13</v>
      </c>
    </row>
    <row r="376" spans="11:11">
      <c r="K376" s="63">
        <v>20641.04</v>
      </c>
    </row>
    <row r="377" spans="11:11">
      <c r="K377" s="63">
        <v>17231.03</v>
      </c>
    </row>
    <row r="378" spans="11:11">
      <c r="K378" s="63">
        <v>13209.61</v>
      </c>
    </row>
    <row r="379" spans="11:11">
      <c r="K379" s="63">
        <v>10997.41</v>
      </c>
    </row>
    <row r="380" spans="11:11">
      <c r="K380" s="63">
        <v>10322.18</v>
      </c>
    </row>
    <row r="381" spans="11:11">
      <c r="K381" s="63">
        <v>8756.58</v>
      </c>
    </row>
    <row r="382" spans="11:11">
      <c r="K382" s="63">
        <v>7118.24</v>
      </c>
    </row>
    <row r="383" spans="11:11">
      <c r="K383" s="63">
        <v>5768.97</v>
      </c>
    </row>
    <row r="384" spans="11:11">
      <c r="K384" s="63">
        <v>6912.19</v>
      </c>
    </row>
    <row r="385" spans="11:11">
      <c r="K385" s="63">
        <v>3636.3</v>
      </c>
    </row>
    <row r="386" spans="11:11">
      <c r="K386" s="63">
        <v>4014.18</v>
      </c>
    </row>
    <row r="387" spans="11:11">
      <c r="K387" s="63">
        <v>4426.1099999999997</v>
      </c>
    </row>
    <row r="388" spans="11:11">
      <c r="K388" s="63">
        <v>6685.98</v>
      </c>
    </row>
    <row r="389" spans="11:11">
      <c r="K389" s="63">
        <v>6009.02</v>
      </c>
    </row>
    <row r="390" spans="11:11">
      <c r="K390" s="63">
        <v>3976.72</v>
      </c>
    </row>
    <row r="391" spans="11:11">
      <c r="K391" s="63">
        <v>5964.01</v>
      </c>
    </row>
    <row r="392" spans="11:11">
      <c r="K392" s="63">
        <v>6080.98</v>
      </c>
    </row>
    <row r="393" spans="11:11">
      <c r="K393" s="63">
        <v>7607.62</v>
      </c>
    </row>
    <row r="394" spans="11:11">
      <c r="K394" s="63">
        <v>8992.11</v>
      </c>
    </row>
    <row r="395" spans="11:11">
      <c r="K395" s="63">
        <v>11880.02</v>
      </c>
    </row>
    <row r="396" spans="11:11">
      <c r="K396" s="63">
        <v>22439.68</v>
      </c>
    </row>
    <row r="397" spans="11:11">
      <c r="K397" s="63">
        <v>63316.05</v>
      </c>
    </row>
    <row r="398" spans="11:11">
      <c r="K398" s="63">
        <v>129203.88</v>
      </c>
    </row>
    <row r="399" spans="11:11">
      <c r="K399" s="63">
        <v>137373.72</v>
      </c>
    </row>
    <row r="400" spans="11:11">
      <c r="K400" s="63">
        <v>113475</v>
      </c>
    </row>
    <row r="401" spans="11:11">
      <c r="K401" s="63">
        <v>81416.399999999994</v>
      </c>
    </row>
    <row r="402" spans="11:11">
      <c r="K402" s="63">
        <v>53791.77</v>
      </c>
    </row>
    <row r="403" spans="11:11">
      <c r="K403" s="63">
        <v>36565.440000000002</v>
      </c>
    </row>
    <row r="404" spans="11:11">
      <c r="K404" s="63">
        <v>23588.95</v>
      </c>
    </row>
    <row r="405" spans="11:11">
      <c r="K405" s="63">
        <v>16923.650000000001</v>
      </c>
    </row>
    <row r="406" spans="11:11">
      <c r="K406" s="63">
        <v>12283.99</v>
      </c>
    </row>
    <row r="407" spans="11:11">
      <c r="K407" s="63">
        <v>8843.74</v>
      </c>
    </row>
    <row r="408" spans="11:11">
      <c r="K408" s="63">
        <v>6173.21</v>
      </c>
    </row>
    <row r="409" spans="11:11">
      <c r="K409" s="63">
        <v>5207.9799999999996</v>
      </c>
    </row>
    <row r="410" spans="11:11">
      <c r="K410" s="63">
        <v>4326.3900000000003</v>
      </c>
    </row>
    <row r="411" spans="11:11">
      <c r="K411" s="63">
        <v>3994.77</v>
      </c>
    </row>
    <row r="412" spans="11:11">
      <c r="K412" s="63">
        <v>3897.44</v>
      </c>
    </row>
    <row r="413" spans="11:11">
      <c r="K413" s="63">
        <v>3235.2</v>
      </c>
    </row>
    <row r="414" spans="11:11">
      <c r="K414" s="63">
        <v>4934.16</v>
      </c>
    </row>
    <row r="415" spans="11:11">
      <c r="K415" s="63">
        <v>3128.69</v>
      </c>
    </row>
    <row r="416" spans="11:11">
      <c r="K416" s="63">
        <v>3187.08</v>
      </c>
    </row>
    <row r="417" spans="11:11">
      <c r="K417" s="63">
        <v>3593.02</v>
      </c>
    </row>
    <row r="418" spans="11:11">
      <c r="K418" s="63">
        <v>5654.49</v>
      </c>
    </row>
    <row r="419" spans="11:11">
      <c r="K419" s="63">
        <v>4773.04</v>
      </c>
    </row>
    <row r="420" spans="11:11">
      <c r="K420" s="63">
        <v>3556.08</v>
      </c>
    </row>
    <row r="421" spans="11:11">
      <c r="K421" s="63">
        <v>4884.96</v>
      </c>
    </row>
    <row r="422" spans="11:11">
      <c r="K422" s="63">
        <v>8639.16</v>
      </c>
    </row>
    <row r="423" spans="11:11">
      <c r="K423" s="63">
        <v>9111.27</v>
      </c>
    </row>
    <row r="424" spans="11:11">
      <c r="K424" s="63">
        <v>9320.82</v>
      </c>
    </row>
    <row r="425" spans="11:11">
      <c r="K425" s="63">
        <v>10544.76</v>
      </c>
    </row>
    <row r="426" spans="11:11">
      <c r="K426" s="63">
        <v>16989.46</v>
      </c>
    </row>
    <row r="427" spans="11:11">
      <c r="K427" s="63">
        <v>48283.49</v>
      </c>
    </row>
    <row r="428" spans="11:11">
      <c r="K428" s="63">
        <v>82098.490000000005</v>
      </c>
    </row>
    <row r="429" spans="11:11">
      <c r="K429" s="63">
        <v>121442.17</v>
      </c>
    </row>
    <row r="430" spans="11:11">
      <c r="K430" s="63">
        <v>113883.26</v>
      </c>
    </row>
    <row r="431" spans="11:11">
      <c r="K431" s="63">
        <v>93776.6</v>
      </c>
    </row>
    <row r="432" spans="11:11">
      <c r="K432" s="63">
        <v>64437.21</v>
      </c>
    </row>
    <row r="433" spans="11:11">
      <c r="K433" s="63">
        <v>49699.03</v>
      </c>
    </row>
    <row r="434" spans="11:11">
      <c r="K434" s="63">
        <v>34647.89</v>
      </c>
    </row>
    <row r="435" spans="11:11">
      <c r="K435" s="63">
        <v>24485.86</v>
      </c>
    </row>
    <row r="436" spans="11:11">
      <c r="K436" s="63">
        <v>17459.580000000002</v>
      </c>
    </row>
    <row r="437" spans="11:11">
      <c r="K437" s="63">
        <v>12827.78</v>
      </c>
    </row>
    <row r="438" spans="11:11">
      <c r="K438" s="63">
        <v>8677.89</v>
      </c>
    </row>
    <row r="439" spans="11:11">
      <c r="K439" s="63">
        <v>7303.77</v>
      </c>
    </row>
    <row r="440" spans="11:11">
      <c r="K440" s="63">
        <v>5953.58</v>
      </c>
    </row>
    <row r="441" spans="11:11">
      <c r="K441" s="63">
        <v>4967.1000000000004</v>
      </c>
    </row>
    <row r="442" spans="11:11">
      <c r="K442" s="63">
        <v>4133.79</v>
      </c>
    </row>
    <row r="443" spans="11:11">
      <c r="K443" s="63">
        <v>3462.1</v>
      </c>
    </row>
    <row r="444" spans="11:11">
      <c r="K444" s="63">
        <v>5440.87</v>
      </c>
    </row>
    <row r="445" spans="11:11">
      <c r="K445" s="63">
        <v>3639.75</v>
      </c>
    </row>
    <row r="446" spans="11:11">
      <c r="K446" s="63">
        <v>2867.54</v>
      </c>
    </row>
    <row r="447" spans="11:11">
      <c r="K447" s="63">
        <v>4102.1899999999996</v>
      </c>
    </row>
    <row r="448" spans="11:11">
      <c r="K448" s="63">
        <v>4635.96</v>
      </c>
    </row>
    <row r="449" spans="11:11">
      <c r="K449" s="63">
        <v>5317.8</v>
      </c>
    </row>
    <row r="450" spans="11:11">
      <c r="K450" s="63">
        <v>4332.66</v>
      </c>
    </row>
    <row r="451" spans="11:11">
      <c r="K451" s="63">
        <v>5639.65</v>
      </c>
    </row>
    <row r="452" spans="11:11">
      <c r="K452" s="63">
        <v>2999.16</v>
      </c>
    </row>
    <row r="453" spans="11:11">
      <c r="K453" s="63">
        <v>3014.72</v>
      </c>
    </row>
    <row r="454" spans="11:11">
      <c r="K454" s="63">
        <v>3810.02</v>
      </c>
    </row>
    <row r="455" spans="11:11">
      <c r="K455" s="63">
        <v>4429.13</v>
      </c>
    </row>
    <row r="456" spans="11:11">
      <c r="K456" s="63">
        <v>6350.88</v>
      </c>
    </row>
    <row r="457" spans="11:11">
      <c r="K457" s="63">
        <v>15395.45</v>
      </c>
    </row>
    <row r="458" spans="11:11">
      <c r="K458" s="63">
        <v>38383.06</v>
      </c>
    </row>
    <row r="459" spans="11:11">
      <c r="K459" s="63">
        <v>33461.589999999997</v>
      </c>
    </row>
    <row r="460" spans="11:11">
      <c r="K460" s="63">
        <v>33239.69</v>
      </c>
    </row>
    <row r="461" spans="11:11">
      <c r="K461" s="63">
        <v>35289.919999999998</v>
      </c>
    </row>
    <row r="462" spans="11:11">
      <c r="K462" s="63">
        <v>37834.18</v>
      </c>
    </row>
    <row r="463" spans="11:11">
      <c r="K463" s="63">
        <v>39776.71</v>
      </c>
    </row>
    <row r="464" spans="11:11">
      <c r="K464" s="63">
        <v>42703.27</v>
      </c>
    </row>
    <row r="465" spans="11:11">
      <c r="K465" s="63">
        <v>44497.73</v>
      </c>
    </row>
    <row r="466" spans="11:11">
      <c r="K466" s="63">
        <v>45847.6</v>
      </c>
    </row>
    <row r="467" spans="11:11">
      <c r="K467" s="63">
        <v>42626.42</v>
      </c>
    </row>
    <row r="468" spans="11:11">
      <c r="K468" s="63">
        <v>34301.800000000003</v>
      </c>
    </row>
    <row r="469" spans="11:11">
      <c r="K469" s="63">
        <v>27029.66</v>
      </c>
    </row>
    <row r="470" spans="11:11">
      <c r="K470" s="63">
        <v>21147.85</v>
      </c>
    </row>
    <row r="471" spans="11:11">
      <c r="K471" s="63">
        <v>14662.42</v>
      </c>
    </row>
    <row r="472" spans="11:11">
      <c r="K472" s="63">
        <v>10590.29</v>
      </c>
    </row>
    <row r="473" spans="11:11">
      <c r="K473" s="63">
        <v>7360.56</v>
      </c>
    </row>
    <row r="474" spans="11:11">
      <c r="K474" s="63">
        <v>8524.61</v>
      </c>
    </row>
    <row r="475" spans="11:11">
      <c r="K475" s="63">
        <v>4792.87</v>
      </c>
    </row>
    <row r="476" spans="11:11">
      <c r="K476" s="63">
        <v>3289.67</v>
      </c>
    </row>
    <row r="477" spans="11:11">
      <c r="K477" s="63">
        <v>5055.22</v>
      </c>
    </row>
    <row r="478" spans="11:11">
      <c r="K478" s="63">
        <v>5048.3</v>
      </c>
    </row>
    <row r="479" spans="11:11">
      <c r="K479" s="63">
        <v>6480.36</v>
      </c>
    </row>
    <row r="480" spans="11:11">
      <c r="K480" s="63">
        <v>5882.93</v>
      </c>
    </row>
    <row r="481" spans="11:11">
      <c r="K481" s="63">
        <v>7184.92</v>
      </c>
    </row>
    <row r="482" spans="11:11">
      <c r="K482" s="63">
        <v>3381.24</v>
      </c>
    </row>
    <row r="483" spans="11:11">
      <c r="K483" s="63">
        <v>3401.91</v>
      </c>
    </row>
    <row r="484" spans="11:11">
      <c r="K484" s="63">
        <v>3787.08</v>
      </c>
    </row>
    <row r="485" spans="11:11">
      <c r="K485" s="63">
        <v>4778.66</v>
      </c>
    </row>
    <row r="486" spans="11:11">
      <c r="K486" s="63">
        <v>6678.98</v>
      </c>
    </row>
    <row r="487" spans="11:11">
      <c r="K487" s="63">
        <v>16592.32</v>
      </c>
    </row>
    <row r="488" spans="11:11">
      <c r="K488" s="63">
        <v>36319.35</v>
      </c>
    </row>
    <row r="489" spans="11:11">
      <c r="K489" s="63">
        <v>40504.9</v>
      </c>
    </row>
    <row r="490" spans="11:11">
      <c r="K490" s="63">
        <v>45569.39</v>
      </c>
    </row>
    <row r="491" spans="11:11">
      <c r="K491" s="63">
        <v>49900.06</v>
      </c>
    </row>
    <row r="492" spans="11:11">
      <c r="K492" s="63">
        <v>49977.29</v>
      </c>
    </row>
    <row r="493" spans="11:11">
      <c r="K493" s="63">
        <v>51197.440000000002</v>
      </c>
    </row>
    <row r="494" spans="11:11">
      <c r="K494" s="63">
        <v>43047.12</v>
      </c>
    </row>
    <row r="495" spans="11:11">
      <c r="K495" s="63">
        <v>40695.699999999997</v>
      </c>
    </row>
    <row r="496" spans="11:11">
      <c r="K496" s="63">
        <v>34704</v>
      </c>
    </row>
    <row r="497" spans="11:11">
      <c r="K497" s="63">
        <v>30008.33</v>
      </c>
    </row>
    <row r="498" spans="11:11">
      <c r="K498" s="63">
        <v>24248.02</v>
      </c>
    </row>
    <row r="499" spans="11:11">
      <c r="K499" s="63">
        <v>18808.61</v>
      </c>
    </row>
    <row r="500" spans="11:11">
      <c r="K500" s="63">
        <v>16004.1</v>
      </c>
    </row>
    <row r="501" spans="11:11">
      <c r="K501" s="63">
        <v>12614.88</v>
      </c>
    </row>
    <row r="502" spans="11:11">
      <c r="K502" s="63">
        <v>9927.86</v>
      </c>
    </row>
    <row r="503" spans="11:11">
      <c r="K503" s="63">
        <v>7270.61</v>
      </c>
    </row>
    <row r="504" spans="11:11">
      <c r="K504" s="63">
        <v>9369.7999999999993</v>
      </c>
    </row>
    <row r="505" spans="11:11">
      <c r="K505" s="63">
        <v>5365.78</v>
      </c>
    </row>
    <row r="506" spans="11:11">
      <c r="K506" s="63">
        <v>3856.14</v>
      </c>
    </row>
    <row r="507" spans="11:11">
      <c r="K507" s="63">
        <v>4656.01</v>
      </c>
    </row>
    <row r="508" spans="11:11">
      <c r="K508" s="63">
        <v>4970.5</v>
      </c>
    </row>
    <row r="509" spans="11:11">
      <c r="K509" s="63">
        <v>5474.24</v>
      </c>
    </row>
    <row r="510" spans="11:11">
      <c r="K510" s="63">
        <v>4452.68</v>
      </c>
    </row>
    <row r="511" spans="11:11">
      <c r="K511" s="63">
        <v>5764.22</v>
      </c>
    </row>
    <row r="512" spans="11:11">
      <c r="K512" s="63">
        <v>9739.6200000000008</v>
      </c>
    </row>
    <row r="513" spans="11:11">
      <c r="K513" s="63">
        <v>9117.9599999999991</v>
      </c>
    </row>
    <row r="514" spans="11:11">
      <c r="K514" s="63">
        <v>9845.65</v>
      </c>
    </row>
    <row r="515" spans="11:11">
      <c r="K515" s="63">
        <v>11821.78</v>
      </c>
    </row>
    <row r="516" spans="11:11">
      <c r="K516" s="63">
        <v>18799.36</v>
      </c>
    </row>
    <row r="517" spans="11:11">
      <c r="K517" s="63">
        <v>48703.839999999997</v>
      </c>
    </row>
    <row r="518" spans="11:11">
      <c r="K518" s="63">
        <v>93142.36</v>
      </c>
    </row>
    <row r="519" spans="11:11">
      <c r="K519" s="63">
        <v>133899.67000000001</v>
      </c>
    </row>
    <row r="520" spans="11:11">
      <c r="K520" s="63">
        <v>119354.94</v>
      </c>
    </row>
    <row r="521" spans="11:11">
      <c r="K521" s="63">
        <v>97115.99</v>
      </c>
    </row>
    <row r="522" spans="11:11">
      <c r="K522" s="63">
        <v>64193.54</v>
      </c>
    </row>
    <row r="523" spans="11:11">
      <c r="K523" s="63">
        <v>46331.65</v>
      </c>
    </row>
    <row r="524" spans="11:11">
      <c r="K524" s="63">
        <v>30994.87</v>
      </c>
    </row>
    <row r="525" spans="11:11">
      <c r="K525" s="63">
        <v>22015.13</v>
      </c>
    </row>
    <row r="526" spans="11:11">
      <c r="K526" s="63">
        <v>15781.97</v>
      </c>
    </row>
    <row r="527" spans="11:11">
      <c r="K527" s="63">
        <v>11790.36</v>
      </c>
    </row>
    <row r="528" spans="11:11">
      <c r="K528" s="63">
        <v>9134.2199999999993</v>
      </c>
    </row>
    <row r="529" spans="11:11">
      <c r="K529" s="63">
        <v>7196.43</v>
      </c>
    </row>
    <row r="530" spans="11:11">
      <c r="K530" s="63">
        <v>6536.62</v>
      </c>
    </row>
    <row r="531" spans="11:11">
      <c r="K531" s="63">
        <v>5383.24</v>
      </c>
    </row>
    <row r="532" spans="11:11">
      <c r="K532" s="63">
        <v>5161.8599999999997</v>
      </c>
    </row>
    <row r="533" spans="11:11">
      <c r="K533" s="63">
        <v>4439.1099999999997</v>
      </c>
    </row>
    <row r="534" spans="11:11">
      <c r="K534" s="63">
        <v>6548.68</v>
      </c>
    </row>
    <row r="535" spans="11:11">
      <c r="K535" s="63">
        <v>3729.05</v>
      </c>
    </row>
    <row r="536" spans="11:11">
      <c r="K536" s="63">
        <v>2910.54</v>
      </c>
    </row>
    <row r="537" spans="11:11">
      <c r="K537" s="63">
        <v>3339.7</v>
      </c>
    </row>
    <row r="538" spans="11:11">
      <c r="K538" s="63">
        <v>3868.83</v>
      </c>
    </row>
    <row r="539" spans="11:11">
      <c r="K539" s="63">
        <v>3910.12</v>
      </c>
    </row>
    <row r="540" spans="11:11">
      <c r="K540" s="63">
        <v>3353.5</v>
      </c>
    </row>
    <row r="541" spans="11:11">
      <c r="K541" s="63">
        <v>3784.97</v>
      </c>
    </row>
    <row r="542" spans="11:11">
      <c r="K542" s="63">
        <v>3930.59</v>
      </c>
    </row>
    <row r="543" spans="11:11">
      <c r="K543" s="63">
        <v>3178.35</v>
      </c>
    </row>
    <row r="544" spans="11:11">
      <c r="K544" s="63">
        <v>2587.0500000000002</v>
      </c>
    </row>
    <row r="545" spans="11:11">
      <c r="K545" s="63">
        <v>2276.86</v>
      </c>
    </row>
    <row r="546" spans="11:11">
      <c r="K546" s="63">
        <v>2970.88</v>
      </c>
    </row>
    <row r="547" spans="11:11">
      <c r="K547" s="63">
        <v>4378.3999999999996</v>
      </c>
    </row>
    <row r="548" spans="11:11">
      <c r="K548" s="63">
        <v>6949.87</v>
      </c>
    </row>
    <row r="549" spans="11:11">
      <c r="K549" s="63">
        <v>7898.61</v>
      </c>
    </row>
    <row r="550" spans="11:11">
      <c r="K550" s="63">
        <v>7740.72</v>
      </c>
    </row>
    <row r="551" spans="11:11">
      <c r="K551" s="63">
        <v>6633.39</v>
      </c>
    </row>
    <row r="552" spans="11:11">
      <c r="K552" s="63">
        <v>6050.2</v>
      </c>
    </row>
    <row r="553" spans="11:11">
      <c r="K553" s="63">
        <v>6215.62</v>
      </c>
    </row>
    <row r="554" spans="11:11">
      <c r="K554" s="63">
        <v>4515.37</v>
      </c>
    </row>
    <row r="555" spans="11:11">
      <c r="K555" s="63">
        <v>5156.74</v>
      </c>
    </row>
    <row r="556" spans="11:11">
      <c r="K556" s="63">
        <v>5152.29</v>
      </c>
    </row>
    <row r="557" spans="11:11">
      <c r="K557" s="63">
        <v>4509.43</v>
      </c>
    </row>
    <row r="558" spans="11:11">
      <c r="K558" s="63">
        <v>2404.0300000000002</v>
      </c>
    </row>
    <row r="559" spans="11:11">
      <c r="K559" s="63">
        <v>4186</v>
      </c>
    </row>
    <row r="560" spans="11:11">
      <c r="K560" s="63">
        <v>4224.0600000000004</v>
      </c>
    </row>
    <row r="561" spans="11:11">
      <c r="K561" s="63">
        <v>2198.0500000000002</v>
      </c>
    </row>
    <row r="562" spans="11:11">
      <c r="K562" s="63">
        <v>4112.58</v>
      </c>
    </row>
    <row r="563" spans="11:11">
      <c r="K563" s="63">
        <v>5564.97</v>
      </c>
    </row>
    <row r="564" spans="11:11">
      <c r="K564" s="63">
        <v>6451.83</v>
      </c>
    </row>
    <row r="565" spans="11:11">
      <c r="K565" s="63">
        <v>1741.09</v>
      </c>
    </row>
    <row r="566" spans="11:11">
      <c r="K566" s="63">
        <v>2699.2</v>
      </c>
    </row>
    <row r="567" spans="11:11">
      <c r="K567" s="63">
        <v>2048.6799999999998</v>
      </c>
    </row>
    <row r="568" spans="11:11">
      <c r="K568" s="63">
        <v>1515.17</v>
      </c>
    </row>
    <row r="569" spans="11:11">
      <c r="K569" s="63">
        <v>1543.83</v>
      </c>
    </row>
    <row r="570" spans="11:11">
      <c r="K570" s="63">
        <v>2272.92</v>
      </c>
    </row>
    <row r="571" spans="11:11">
      <c r="K571" s="63">
        <v>1750.17</v>
      </c>
    </row>
    <row r="572" spans="11:11">
      <c r="K572" s="63">
        <v>2198.1999999999998</v>
      </c>
    </row>
    <row r="573" spans="11:11">
      <c r="K573" s="63">
        <v>2169.86</v>
      </c>
    </row>
    <row r="574" spans="11:11">
      <c r="K574" s="63">
        <v>2173.38</v>
      </c>
    </row>
    <row r="575" spans="11:11">
      <c r="K575" s="63">
        <v>2573.7600000000002</v>
      </c>
    </row>
    <row r="576" spans="11:11">
      <c r="K576" s="63">
        <v>52242.86</v>
      </c>
    </row>
    <row r="577" spans="11:11">
      <c r="K577" s="63">
        <v>61599.29</v>
      </c>
    </row>
    <row r="578" spans="11:11">
      <c r="K578" s="63">
        <v>16021.45</v>
      </c>
    </row>
    <row r="579" spans="11:11">
      <c r="K579" s="63">
        <v>65081.99</v>
      </c>
    </row>
    <row r="580" spans="11:11">
      <c r="K580" s="63">
        <v>265185.39</v>
      </c>
    </row>
    <row r="581" spans="11:11">
      <c r="K581" s="63">
        <v>75026.55</v>
      </c>
    </row>
    <row r="582" spans="11:11">
      <c r="K582" s="63">
        <v>245991.2</v>
      </c>
    </row>
    <row r="583" spans="11:11">
      <c r="K583" s="63">
        <v>178723.73</v>
      </c>
    </row>
    <row r="584" spans="11:11">
      <c r="K584" s="63">
        <v>50747.75</v>
      </c>
    </row>
    <row r="585" spans="11:11">
      <c r="K585" s="63">
        <v>146586.57</v>
      </c>
    </row>
    <row r="586" spans="11:11">
      <c r="K586" s="63">
        <v>109400.44</v>
      </c>
    </row>
    <row r="587" spans="11:11">
      <c r="K587" s="63">
        <v>187834.69</v>
      </c>
    </row>
    <row r="588" spans="11:11">
      <c r="K588" s="63">
        <v>10479.719999999999</v>
      </c>
    </row>
    <row r="589" spans="11:11">
      <c r="K589" s="63">
        <v>75008.479999999996</v>
      </c>
    </row>
    <row r="590" spans="11:11">
      <c r="K590" s="63">
        <v>208403.01</v>
      </c>
    </row>
    <row r="591" spans="11:11">
      <c r="K591" s="63">
        <v>9900.81</v>
      </c>
    </row>
    <row r="592" spans="11:11">
      <c r="K592" s="63">
        <v>168970.5</v>
      </c>
    </row>
    <row r="593" spans="11:11">
      <c r="K593" s="63">
        <v>145806.79</v>
      </c>
    </row>
    <row r="594" spans="11:11">
      <c r="K594" s="63">
        <v>397653.5</v>
      </c>
    </row>
    <row r="595" spans="11:11">
      <c r="K595" s="63">
        <v>9321.4</v>
      </c>
    </row>
    <row r="596" spans="11:11">
      <c r="K596" s="63">
        <v>66873.16</v>
      </c>
    </row>
    <row r="597" spans="11:11">
      <c r="K597" s="63">
        <v>49939.23</v>
      </c>
    </row>
    <row r="598" spans="11:11">
      <c r="K598" s="63">
        <v>5001.99</v>
      </c>
    </row>
    <row r="599" spans="11:11">
      <c r="K599" s="63">
        <v>6051.17</v>
      </c>
    </row>
    <row r="600" spans="11:11">
      <c r="K600" s="63">
        <v>49058.62</v>
      </c>
    </row>
    <row r="601" spans="11:11">
      <c r="K601" s="63">
        <v>4161.47</v>
      </c>
    </row>
  </sheetData>
  <mergeCells count="3">
    <mergeCell ref="P1:R1"/>
    <mergeCell ref="E1:F1"/>
    <mergeCell ref="X1:Z1"/>
  </mergeCells>
  <dataValidations xWindow="153" yWindow="726" count="1">
    <dataValidation allowBlank="1" sqref="F2:F1048576 D6:D1048576 X1:X23 G1:O1048576 Y2:Z23 E1:E1048576 Q2:R23 P36:R1048576 P28:R28 P1:P23 S43:U1048576 X41:Z1048576 AB32:AD1048576 S1:U34 V1:W1048576 AA1:AA1048576 AE1:XFD1048576 AB1:AD23"/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542"/>
  <sheetViews>
    <sheetView zoomScaleNormal="100" workbookViewId="0"/>
  </sheetViews>
  <sheetFormatPr defaultColWidth="8.88671875" defaultRowHeight="14.4"/>
  <cols>
    <col min="1" max="1" width="10.21875" style="2" bestFit="1" customWidth="1"/>
    <col min="2" max="2" width="7.77734375" style="2" bestFit="1" customWidth="1"/>
    <col min="3" max="4" width="8.88671875" style="3" customWidth="1"/>
    <col min="5" max="5" width="8.88671875" style="3"/>
    <col min="6" max="6" width="8.88671875" style="3" customWidth="1"/>
    <col min="7" max="7" width="8.88671875" style="3"/>
    <col min="8" max="10" width="8.88671875" style="7"/>
    <col min="11" max="11" width="8.88671875" style="8"/>
    <col min="12" max="14" width="8.88671875" style="9"/>
    <col min="15" max="15" width="16.5546875" style="9" bestFit="1" customWidth="1"/>
    <col min="16" max="16" width="16.21875" style="9" bestFit="1" customWidth="1"/>
    <col min="17" max="17" width="18.5546875" style="9" bestFit="1" customWidth="1"/>
    <col min="18" max="18" width="8.88671875" style="39"/>
    <col min="19" max="16384" width="8.88671875" style="10"/>
  </cols>
  <sheetData>
    <row r="1" spans="1:18" s="16" customFormat="1">
      <c r="A1" s="53" t="s">
        <v>17</v>
      </c>
      <c r="B1" s="54"/>
      <c r="C1" s="54"/>
      <c r="D1" s="54"/>
      <c r="E1" s="54"/>
      <c r="F1" s="54"/>
      <c r="G1" s="55"/>
      <c r="H1" s="56" t="s">
        <v>0</v>
      </c>
      <c r="I1" s="57"/>
      <c r="J1" s="57"/>
      <c r="K1" s="58"/>
      <c r="L1" s="50" t="s">
        <v>1</v>
      </c>
      <c r="M1" s="51"/>
      <c r="N1" s="51"/>
      <c r="O1" s="51"/>
      <c r="P1" s="51"/>
      <c r="Q1" s="52"/>
      <c r="R1" s="37"/>
    </row>
    <row r="2" spans="1:18" s="16" customFormat="1">
      <c r="A2" s="13" t="s">
        <v>2</v>
      </c>
      <c r="B2" s="13" t="s">
        <v>3</v>
      </c>
      <c r="C2" s="75" t="s">
        <v>4</v>
      </c>
      <c r="D2" s="75"/>
      <c r="E2" s="75"/>
      <c r="F2" s="75"/>
      <c r="G2" s="75"/>
      <c r="H2" s="14" t="s">
        <v>5</v>
      </c>
      <c r="I2" s="14" t="s">
        <v>3</v>
      </c>
      <c r="J2" s="14" t="s">
        <v>6</v>
      </c>
      <c r="K2" s="15" t="s">
        <v>7</v>
      </c>
      <c r="L2" s="64" t="s">
        <v>11</v>
      </c>
      <c r="M2" s="64" t="s">
        <v>26</v>
      </c>
      <c r="N2" s="64" t="s">
        <v>27</v>
      </c>
      <c r="O2" s="64" t="s">
        <v>24</v>
      </c>
      <c r="P2" s="64" t="s">
        <v>23</v>
      </c>
      <c r="Q2" s="1" t="s">
        <v>22</v>
      </c>
      <c r="R2" s="37"/>
    </row>
    <row r="3" spans="1:18">
      <c r="C3" s="67" t="s">
        <v>25</v>
      </c>
      <c r="D3" s="4" t="s">
        <v>8</v>
      </c>
      <c r="E3" s="5" t="e">
        <f>EXP(INDEX(LINEST(LN($A$3:$A$6),LN($B$3:$B$6),,),1,2))</f>
        <v>#VALUE!</v>
      </c>
      <c r="F3" s="3" t="s">
        <v>9</v>
      </c>
      <c r="G3" s="6" t="e">
        <f>INDEX(LINEST(LN($A$3:$A$6),LN($B$3:$B$6),,),1)</f>
        <v>#VALUE!</v>
      </c>
      <c r="H3" s="7">
        <v>1</v>
      </c>
      <c r="I3" s="7">
        <f>0.5</f>
        <v>0.5</v>
      </c>
      <c r="J3" s="7" t="str">
        <f>IF(I3&lt;$B$7,"1",IF(H3&lt;$B$13,"2","3"))</f>
        <v>3</v>
      </c>
      <c r="K3" s="8" t="e">
        <f>IF(J3="1",$E$3*I3^$G$3,IF(J3="2",$E$15*I3^$G$15,$E$27*I3^$G$27))</f>
        <v>#VALUE!</v>
      </c>
    </row>
    <row r="4" spans="1:18">
      <c r="H4" s="7">
        <v>2</v>
      </c>
      <c r="I4" s="7">
        <v>1.5</v>
      </c>
      <c r="J4" s="7" t="str">
        <f t="shared" ref="J4:J12" si="0">IF(I4&lt;$B$7,"1",IF(H4&lt;$B$13,"2","3"))</f>
        <v>3</v>
      </c>
      <c r="K4" s="8" t="e">
        <f t="shared" ref="K4:K32" si="1">IF(J4="1",$E$3*I4^$G$3,IF(J4="2",$E$15*I4^$G$15,$E$27*I4^$G$27))</f>
        <v>#VALUE!</v>
      </c>
    </row>
    <row r="5" spans="1:18">
      <c r="H5" s="7">
        <v>3</v>
      </c>
      <c r="I5" s="7">
        <v>2.5</v>
      </c>
      <c r="J5" s="7" t="str">
        <f t="shared" si="0"/>
        <v>3</v>
      </c>
      <c r="K5" s="8" t="e">
        <f t="shared" si="1"/>
        <v>#VALUE!</v>
      </c>
    </row>
    <row r="6" spans="1:18">
      <c r="H6" s="7">
        <v>4</v>
      </c>
      <c r="I6" s="7">
        <v>3.5</v>
      </c>
      <c r="J6" s="7" t="str">
        <f t="shared" si="0"/>
        <v>3</v>
      </c>
      <c r="K6" s="8" t="e">
        <f t="shared" si="1"/>
        <v>#VALUE!</v>
      </c>
    </row>
    <row r="7" spans="1:18">
      <c r="H7" s="7">
        <v>5</v>
      </c>
      <c r="I7" s="7">
        <v>4.5</v>
      </c>
      <c r="J7" s="7" t="str">
        <f t="shared" si="0"/>
        <v>3</v>
      </c>
      <c r="K7" s="8" t="e">
        <f t="shared" si="1"/>
        <v>#VALUE!</v>
      </c>
    </row>
    <row r="8" spans="1:18">
      <c r="H8" s="7">
        <v>6</v>
      </c>
      <c r="I8" s="7">
        <v>5.5</v>
      </c>
      <c r="J8" s="7" t="str">
        <f t="shared" si="0"/>
        <v>3</v>
      </c>
      <c r="K8" s="8" t="e">
        <f t="shared" si="1"/>
        <v>#VALUE!</v>
      </c>
    </row>
    <row r="9" spans="1:18">
      <c r="H9" s="7">
        <v>7</v>
      </c>
      <c r="I9" s="7">
        <v>6.5</v>
      </c>
      <c r="J9" s="7" t="str">
        <f t="shared" si="0"/>
        <v>3</v>
      </c>
      <c r="K9" s="8" t="e">
        <f t="shared" si="1"/>
        <v>#VALUE!</v>
      </c>
    </row>
    <row r="10" spans="1:18">
      <c r="H10" s="7">
        <v>8</v>
      </c>
      <c r="I10" s="7">
        <v>7.5</v>
      </c>
      <c r="J10" s="7" t="str">
        <f t="shared" si="0"/>
        <v>3</v>
      </c>
      <c r="K10" s="8" t="e">
        <f t="shared" si="1"/>
        <v>#VALUE!</v>
      </c>
    </row>
    <row r="11" spans="1:18">
      <c r="H11" s="7">
        <v>9</v>
      </c>
      <c r="I11" s="7">
        <v>8.5</v>
      </c>
      <c r="J11" s="7" t="str">
        <f t="shared" si="0"/>
        <v>3</v>
      </c>
      <c r="K11" s="8" t="e">
        <f t="shared" si="1"/>
        <v>#VALUE!</v>
      </c>
    </row>
    <row r="12" spans="1:18">
      <c r="H12" s="7">
        <v>10</v>
      </c>
      <c r="I12" s="7">
        <v>9.5</v>
      </c>
      <c r="J12" s="7" t="str">
        <f t="shared" si="0"/>
        <v>3</v>
      </c>
      <c r="K12" s="8" t="e">
        <f t="shared" si="1"/>
        <v>#VALUE!</v>
      </c>
    </row>
    <row r="13" spans="1:18">
      <c r="H13" s="7">
        <v>11</v>
      </c>
      <c r="I13" s="7">
        <v>10.5</v>
      </c>
      <c r="J13" s="7" t="str">
        <f>IF(I13&lt;$B$7,"1",IF(H13&lt;$B$13,"2","3"))</f>
        <v>3</v>
      </c>
      <c r="K13" s="8" t="e">
        <f t="shared" si="1"/>
        <v>#VALUE!</v>
      </c>
    </row>
    <row r="14" spans="1:18">
      <c r="H14" s="7">
        <v>12</v>
      </c>
      <c r="I14" s="7">
        <v>11.5</v>
      </c>
      <c r="J14" s="7" t="str">
        <f t="shared" ref="J14:J32" si="2">IF(I14&lt;$B$7,"1",IF(H14&lt;$B$13,"2","3"))</f>
        <v>3</v>
      </c>
      <c r="K14" s="8" t="e">
        <f t="shared" si="1"/>
        <v>#VALUE!</v>
      </c>
    </row>
    <row r="15" spans="1:18">
      <c r="C15" s="67" t="s">
        <v>18</v>
      </c>
      <c r="D15" s="4" t="s">
        <v>8</v>
      </c>
      <c r="E15" s="5" t="e">
        <f>EXP(INDEX(LINEST(LN($A$7:$A$13),LN($B$7:$B$13),,),1,2))</f>
        <v>#VALUE!</v>
      </c>
      <c r="F15" s="3" t="s">
        <v>9</v>
      </c>
      <c r="G15" s="6" t="e">
        <f>INDEX(LINEST(LN($A$7:$A$13),LN($B$7:$B$13),,),1)</f>
        <v>#VALUE!</v>
      </c>
      <c r="H15" s="7">
        <v>13</v>
      </c>
      <c r="I15" s="7">
        <v>12.5</v>
      </c>
      <c r="J15" s="7" t="str">
        <f t="shared" si="2"/>
        <v>3</v>
      </c>
      <c r="K15" s="8" t="e">
        <f t="shared" si="1"/>
        <v>#VALUE!</v>
      </c>
    </row>
    <row r="16" spans="1:18">
      <c r="H16" s="7">
        <v>14</v>
      </c>
      <c r="I16" s="7">
        <v>13.5</v>
      </c>
      <c r="J16" s="7" t="str">
        <f t="shared" si="2"/>
        <v>3</v>
      </c>
      <c r="K16" s="8" t="e">
        <f t="shared" si="1"/>
        <v>#VALUE!</v>
      </c>
    </row>
    <row r="17" spans="1:19">
      <c r="H17" s="7">
        <v>15</v>
      </c>
      <c r="I17" s="7">
        <v>14.5</v>
      </c>
      <c r="J17" s="7" t="str">
        <f t="shared" si="2"/>
        <v>3</v>
      </c>
      <c r="K17" s="8" t="e">
        <f t="shared" si="1"/>
        <v>#VALUE!</v>
      </c>
    </row>
    <row r="18" spans="1:19">
      <c r="A18" s="3"/>
      <c r="B18" s="3"/>
      <c r="H18" s="7">
        <v>16</v>
      </c>
      <c r="I18" s="7">
        <v>15.5</v>
      </c>
      <c r="J18" s="7" t="str">
        <f t="shared" si="2"/>
        <v>3</v>
      </c>
      <c r="K18" s="8" t="e">
        <f t="shared" si="1"/>
        <v>#VALUE!</v>
      </c>
    </row>
    <row r="19" spans="1:19">
      <c r="A19" s="3"/>
      <c r="B19" s="3"/>
      <c r="H19" s="7">
        <v>17</v>
      </c>
      <c r="I19" s="7">
        <v>16.5</v>
      </c>
      <c r="J19" s="7" t="str">
        <f t="shared" si="2"/>
        <v>3</v>
      </c>
      <c r="K19" s="8" t="e">
        <f t="shared" si="1"/>
        <v>#VALUE!</v>
      </c>
    </row>
    <row r="20" spans="1:19">
      <c r="A20" s="3"/>
      <c r="B20" s="3"/>
      <c r="H20" s="7">
        <v>18</v>
      </c>
      <c r="I20" s="7">
        <v>17.5</v>
      </c>
      <c r="J20" s="7" t="str">
        <f t="shared" si="2"/>
        <v>3</v>
      </c>
      <c r="K20" s="8" t="e">
        <f t="shared" si="1"/>
        <v>#VALUE!</v>
      </c>
    </row>
    <row r="21" spans="1:19">
      <c r="A21" s="3"/>
      <c r="B21" s="3"/>
      <c r="H21" s="7">
        <v>19</v>
      </c>
      <c r="I21" s="7">
        <v>18.5</v>
      </c>
      <c r="J21" s="7" t="str">
        <f t="shared" si="2"/>
        <v>3</v>
      </c>
      <c r="K21" s="8" t="e">
        <f t="shared" si="1"/>
        <v>#VALUE!</v>
      </c>
      <c r="S21" s="17"/>
    </row>
    <row r="22" spans="1:19">
      <c r="A22" s="3"/>
      <c r="B22" s="3"/>
      <c r="H22" s="7">
        <v>20</v>
      </c>
      <c r="I22" s="7">
        <v>19.5</v>
      </c>
      <c r="J22" s="7" t="str">
        <f t="shared" si="2"/>
        <v>3</v>
      </c>
      <c r="K22" s="8" t="e">
        <f t="shared" si="1"/>
        <v>#VALUE!</v>
      </c>
    </row>
    <row r="23" spans="1:19">
      <c r="A23" s="3"/>
      <c r="B23" s="3"/>
      <c r="H23" s="7">
        <v>21</v>
      </c>
      <c r="I23" s="7">
        <v>20.5</v>
      </c>
      <c r="J23" s="7" t="str">
        <f t="shared" si="2"/>
        <v>3</v>
      </c>
      <c r="K23" s="8" t="e">
        <f t="shared" si="1"/>
        <v>#VALUE!</v>
      </c>
    </row>
    <row r="24" spans="1:19">
      <c r="A24" s="3"/>
      <c r="B24" s="3"/>
      <c r="H24" s="7">
        <v>22</v>
      </c>
      <c r="I24" s="7">
        <v>21.5</v>
      </c>
      <c r="J24" s="7" t="str">
        <f t="shared" si="2"/>
        <v>3</v>
      </c>
      <c r="K24" s="8" t="e">
        <f t="shared" si="1"/>
        <v>#VALUE!</v>
      </c>
    </row>
    <row r="25" spans="1:19">
      <c r="A25" s="3"/>
      <c r="B25" s="3"/>
      <c r="H25" s="7">
        <v>23</v>
      </c>
      <c r="I25" s="7">
        <v>22.5</v>
      </c>
      <c r="J25" s="7" t="str">
        <f t="shared" si="2"/>
        <v>3</v>
      </c>
      <c r="K25" s="8" t="e">
        <f t="shared" si="1"/>
        <v>#VALUE!</v>
      </c>
    </row>
    <row r="26" spans="1:19">
      <c r="A26" s="3"/>
      <c r="B26" s="3"/>
      <c r="H26" s="7">
        <v>24</v>
      </c>
      <c r="I26" s="7">
        <v>23.5</v>
      </c>
      <c r="J26" s="7" t="str">
        <f t="shared" si="2"/>
        <v>3</v>
      </c>
      <c r="K26" s="8" t="e">
        <f t="shared" si="1"/>
        <v>#VALUE!</v>
      </c>
    </row>
    <row r="27" spans="1:19">
      <c r="A27" s="3"/>
      <c r="B27" s="3"/>
      <c r="C27" s="67" t="s">
        <v>19</v>
      </c>
      <c r="D27" s="4" t="s">
        <v>8</v>
      </c>
      <c r="E27" s="5" t="e">
        <f>EXP(INDEX(LINEST(LN($A$13:$A$16),LN($B$13:$B$16),,),1,2))</f>
        <v>#VALUE!</v>
      </c>
      <c r="F27" s="3" t="s">
        <v>9</v>
      </c>
      <c r="G27" s="6" t="e">
        <f>INDEX(LINEST(LN($A$13:$A$16),LN($B$13:$B$16),,),1)</f>
        <v>#VALUE!</v>
      </c>
      <c r="H27" s="7">
        <v>25</v>
      </c>
      <c r="I27" s="7">
        <v>24.5</v>
      </c>
      <c r="J27" s="7" t="str">
        <f t="shared" si="2"/>
        <v>3</v>
      </c>
      <c r="K27" s="8" t="e">
        <f t="shared" si="1"/>
        <v>#VALUE!</v>
      </c>
    </row>
    <row r="28" spans="1:19">
      <c r="A28" s="3"/>
      <c r="B28" s="3"/>
      <c r="H28" s="7">
        <v>26</v>
      </c>
      <c r="I28" s="7">
        <v>25.5</v>
      </c>
      <c r="J28" s="7" t="str">
        <f t="shared" si="2"/>
        <v>3</v>
      </c>
      <c r="K28" s="8" t="e">
        <f>IF(J28="1",$E$3*I28^$G$3,IF(J28="2",$E$15*I28^$G$15,$E$27*I28^$G$27))</f>
        <v>#VALUE!</v>
      </c>
    </row>
    <row r="29" spans="1:19">
      <c r="A29" s="3"/>
      <c r="B29" s="3"/>
      <c r="H29" s="7">
        <v>27</v>
      </c>
      <c r="I29" s="7">
        <v>26.5</v>
      </c>
      <c r="J29" s="7" t="str">
        <f t="shared" si="2"/>
        <v>3</v>
      </c>
      <c r="K29" s="8" t="e">
        <f t="shared" si="1"/>
        <v>#VALUE!</v>
      </c>
    </row>
    <row r="30" spans="1:19">
      <c r="A30" s="3"/>
      <c r="B30" s="3"/>
      <c r="H30" s="7">
        <v>28</v>
      </c>
      <c r="I30" s="7">
        <v>27.5</v>
      </c>
      <c r="J30" s="7" t="str">
        <f t="shared" si="2"/>
        <v>3</v>
      </c>
      <c r="K30" s="8" t="e">
        <f t="shared" si="1"/>
        <v>#VALUE!</v>
      </c>
    </row>
    <row r="31" spans="1:19">
      <c r="A31" s="3"/>
      <c r="B31" s="3"/>
      <c r="H31" s="7">
        <v>29</v>
      </c>
      <c r="I31" s="7">
        <v>28.5</v>
      </c>
      <c r="J31" s="7" t="str">
        <f t="shared" si="2"/>
        <v>3</v>
      </c>
      <c r="K31" s="8" t="e">
        <f>IF(J31="1",$E$3*I31^$G$3,IF(J31="2",$E$15*I31^$G$15,$E$27*I31^$G$27))</f>
        <v>#VALUE!</v>
      </c>
    </row>
    <row r="32" spans="1:19">
      <c r="A32" s="3"/>
      <c r="B32" s="3"/>
      <c r="H32" s="7">
        <v>30</v>
      </c>
      <c r="I32" s="7">
        <v>29.5</v>
      </c>
      <c r="J32" s="7" t="str">
        <f t="shared" si="2"/>
        <v>3</v>
      </c>
      <c r="K32" s="8" t="e">
        <f t="shared" si="1"/>
        <v>#VALUE!</v>
      </c>
    </row>
    <row r="33" spans="1:15">
      <c r="A33" s="3"/>
      <c r="B33" s="3"/>
      <c r="H33" s="11"/>
      <c r="I33" s="11"/>
      <c r="J33" s="11"/>
      <c r="K33" s="11"/>
      <c r="L33" s="12"/>
      <c r="M33" s="12"/>
      <c r="N33" s="12"/>
      <c r="O33" s="12"/>
    </row>
    <row r="34" spans="1:15">
      <c r="A34" s="3"/>
      <c r="B34" s="3"/>
      <c r="H34" s="11"/>
      <c r="I34" s="11"/>
      <c r="J34" s="11"/>
      <c r="K34" s="11"/>
      <c r="L34" s="12"/>
      <c r="M34" s="12"/>
      <c r="N34" s="12"/>
      <c r="O34" s="12"/>
    </row>
    <row r="35" spans="1:15">
      <c r="A35" s="3"/>
      <c r="B35" s="3"/>
      <c r="H35" s="11"/>
      <c r="I35" s="11"/>
      <c r="J35" s="11"/>
      <c r="K35" s="11"/>
      <c r="L35" s="12"/>
      <c r="M35" s="12"/>
      <c r="N35" s="12"/>
      <c r="O35" s="12"/>
    </row>
    <row r="36" spans="1:15">
      <c r="A36" s="3"/>
      <c r="B36" s="3"/>
      <c r="H36" s="11"/>
      <c r="I36" s="11"/>
      <c r="J36" s="11"/>
      <c r="K36" s="11"/>
      <c r="L36" s="12"/>
      <c r="M36" s="12"/>
      <c r="N36" s="12"/>
      <c r="O36" s="12"/>
    </row>
    <row r="37" spans="1:15">
      <c r="A37" s="3"/>
      <c r="B37" s="3"/>
      <c r="H37" s="11"/>
      <c r="I37" s="11"/>
      <c r="J37" s="11"/>
      <c r="K37" s="11"/>
      <c r="L37" s="12"/>
      <c r="M37" s="12"/>
      <c r="N37" s="12"/>
      <c r="O37" s="12"/>
    </row>
    <row r="38" spans="1:15">
      <c r="A38" s="3"/>
      <c r="B38" s="3"/>
      <c r="H38" s="11"/>
      <c r="I38" s="11"/>
      <c r="J38" s="11"/>
      <c r="K38" s="11"/>
      <c r="L38" s="12"/>
      <c r="M38" s="12"/>
      <c r="N38" s="12"/>
      <c r="O38" s="12"/>
    </row>
    <row r="39" spans="1:15">
      <c r="A39" s="3"/>
      <c r="B39" s="3"/>
      <c r="H39" s="11"/>
      <c r="I39" s="11"/>
      <c r="J39" s="11"/>
      <c r="K39" s="11"/>
      <c r="L39" s="12"/>
      <c r="M39" s="12"/>
      <c r="N39" s="12"/>
      <c r="O39" s="12"/>
    </row>
    <row r="40" spans="1:15">
      <c r="A40" s="3"/>
      <c r="B40" s="3"/>
      <c r="H40" s="11"/>
      <c r="I40" s="11"/>
      <c r="J40" s="11"/>
      <c r="K40" s="11"/>
      <c r="L40" s="12"/>
      <c r="M40" s="12"/>
      <c r="N40" s="12"/>
      <c r="O40" s="12"/>
    </row>
    <row r="41" spans="1:15">
      <c r="A41" s="3"/>
      <c r="B41" s="3"/>
      <c r="H41" s="11"/>
      <c r="I41" s="11"/>
      <c r="J41" s="11"/>
      <c r="K41" s="11"/>
      <c r="L41" s="12"/>
      <c r="M41" s="12"/>
      <c r="N41" s="12"/>
      <c r="O41" s="12"/>
    </row>
    <row r="42" spans="1:15">
      <c r="A42" s="3"/>
      <c r="B42" s="3"/>
      <c r="H42" s="11"/>
      <c r="I42" s="11"/>
      <c r="J42" s="11"/>
      <c r="K42" s="11"/>
      <c r="L42" s="12"/>
      <c r="M42" s="12"/>
      <c r="N42" s="12"/>
      <c r="O42" s="12"/>
    </row>
    <row r="43" spans="1:15">
      <c r="A43" s="3"/>
      <c r="B43" s="3"/>
      <c r="H43" s="11"/>
      <c r="I43" s="11"/>
      <c r="J43" s="11"/>
      <c r="K43" s="11"/>
      <c r="L43" s="12"/>
      <c r="M43" s="12"/>
      <c r="N43" s="12"/>
      <c r="O43" s="12"/>
    </row>
    <row r="44" spans="1:15">
      <c r="A44" s="3"/>
      <c r="B44" s="3"/>
      <c r="H44" s="11"/>
      <c r="I44" s="11"/>
      <c r="J44" s="11"/>
      <c r="K44" s="11"/>
      <c r="L44" s="12"/>
      <c r="M44" s="12"/>
      <c r="N44" s="12"/>
      <c r="O44" s="12"/>
    </row>
    <row r="45" spans="1:15">
      <c r="A45" s="3"/>
      <c r="B45" s="3"/>
      <c r="H45" s="11"/>
      <c r="I45" s="11"/>
      <c r="J45" s="11"/>
      <c r="K45" s="11"/>
      <c r="L45" s="12"/>
      <c r="M45" s="12"/>
      <c r="N45" s="12"/>
      <c r="O45" s="12"/>
    </row>
    <row r="46" spans="1:15">
      <c r="A46" s="3"/>
      <c r="B46" s="3"/>
      <c r="H46" s="11"/>
      <c r="I46" s="11"/>
      <c r="J46" s="11"/>
      <c r="K46" s="11"/>
      <c r="L46" s="12"/>
      <c r="M46" s="12"/>
      <c r="N46" s="12"/>
      <c r="O46" s="12"/>
    </row>
    <row r="47" spans="1:15">
      <c r="A47" s="3"/>
      <c r="B47" s="3"/>
      <c r="H47" s="11"/>
      <c r="I47" s="11"/>
      <c r="J47" s="11"/>
      <c r="K47" s="11"/>
      <c r="L47" s="12"/>
      <c r="M47" s="12"/>
      <c r="N47" s="12"/>
      <c r="O47" s="12"/>
    </row>
    <row r="48" spans="1:15">
      <c r="A48" s="3"/>
      <c r="B48" s="3"/>
      <c r="H48" s="11"/>
      <c r="I48" s="11"/>
      <c r="J48" s="11"/>
      <c r="K48" s="11"/>
      <c r="L48" s="12"/>
      <c r="M48" s="12"/>
      <c r="N48" s="12"/>
      <c r="O48" s="12"/>
    </row>
    <row r="49" spans="1:15">
      <c r="A49" s="3"/>
      <c r="B49" s="3"/>
      <c r="H49" s="11"/>
      <c r="I49" s="11"/>
      <c r="J49" s="11"/>
      <c r="K49" s="11"/>
      <c r="L49" s="12"/>
      <c r="M49" s="12"/>
      <c r="N49" s="12"/>
      <c r="O49" s="12"/>
    </row>
    <row r="50" spans="1:15">
      <c r="A50" s="3"/>
      <c r="B50" s="3"/>
      <c r="H50" s="11"/>
      <c r="I50" s="11"/>
      <c r="J50" s="11"/>
      <c r="K50" s="11"/>
      <c r="L50" s="12"/>
      <c r="M50" s="12"/>
      <c r="N50" s="12"/>
      <c r="O50" s="12"/>
    </row>
    <row r="51" spans="1:15">
      <c r="A51" s="3"/>
      <c r="B51" s="3"/>
      <c r="H51" s="11"/>
      <c r="I51" s="11"/>
      <c r="J51" s="11"/>
      <c r="K51" s="11"/>
      <c r="L51" s="12"/>
      <c r="M51" s="12"/>
      <c r="N51" s="12"/>
      <c r="O51" s="12"/>
    </row>
    <row r="52" spans="1:15">
      <c r="A52" s="3"/>
      <c r="B52" s="3"/>
      <c r="H52" s="11"/>
      <c r="I52" s="11"/>
      <c r="J52" s="11"/>
      <c r="K52" s="11"/>
      <c r="L52" s="12"/>
      <c r="M52" s="12"/>
      <c r="N52" s="12"/>
      <c r="O52" s="12"/>
    </row>
    <row r="53" spans="1:15">
      <c r="A53" s="3"/>
      <c r="B53" s="3"/>
      <c r="H53" s="11"/>
      <c r="I53" s="11"/>
      <c r="J53" s="11"/>
      <c r="K53" s="11"/>
      <c r="L53" s="12"/>
      <c r="M53" s="12"/>
      <c r="N53" s="12"/>
      <c r="O53" s="12"/>
    </row>
    <row r="54" spans="1:15">
      <c r="A54" s="3"/>
      <c r="B54" s="3"/>
      <c r="H54" s="11"/>
      <c r="I54" s="11"/>
      <c r="J54" s="11"/>
      <c r="K54" s="11"/>
      <c r="L54" s="12"/>
      <c r="M54" s="12"/>
      <c r="N54" s="12"/>
      <c r="O54" s="12"/>
    </row>
    <row r="55" spans="1:15">
      <c r="A55" s="3"/>
      <c r="B55" s="3"/>
      <c r="H55" s="11"/>
      <c r="I55" s="11"/>
      <c r="J55" s="11"/>
      <c r="K55" s="11"/>
      <c r="L55" s="12"/>
      <c r="M55" s="12"/>
      <c r="N55" s="12"/>
      <c r="O55" s="12"/>
    </row>
    <row r="56" spans="1:15">
      <c r="A56" s="3"/>
      <c r="B56" s="3"/>
      <c r="H56" s="11"/>
      <c r="I56" s="11"/>
      <c r="J56" s="11"/>
      <c r="K56" s="11"/>
      <c r="L56" s="12"/>
      <c r="M56" s="12"/>
      <c r="N56" s="12"/>
      <c r="O56" s="12"/>
    </row>
    <row r="57" spans="1:15">
      <c r="A57" s="3"/>
      <c r="B57" s="3"/>
      <c r="H57" s="11"/>
      <c r="I57" s="11"/>
      <c r="J57" s="11"/>
      <c r="K57" s="11"/>
      <c r="L57" s="12"/>
      <c r="M57" s="12"/>
      <c r="N57" s="12"/>
      <c r="O57" s="12"/>
    </row>
    <row r="58" spans="1:15">
      <c r="A58" s="3"/>
      <c r="B58" s="3"/>
      <c r="H58" s="11"/>
      <c r="I58" s="11"/>
      <c r="J58" s="11"/>
      <c r="K58" s="11"/>
      <c r="L58" s="12"/>
      <c r="M58" s="12"/>
      <c r="N58" s="12"/>
      <c r="O58" s="12"/>
    </row>
    <row r="59" spans="1:15">
      <c r="A59" s="3"/>
      <c r="B59" s="3"/>
      <c r="H59" s="11"/>
      <c r="I59" s="11"/>
      <c r="J59" s="11"/>
      <c r="K59" s="11"/>
      <c r="L59" s="12"/>
      <c r="M59" s="12"/>
      <c r="N59" s="12"/>
      <c r="O59" s="12"/>
    </row>
    <row r="60" spans="1:15">
      <c r="A60" s="3"/>
      <c r="B60" s="3"/>
      <c r="H60" s="11"/>
      <c r="I60" s="11"/>
      <c r="J60" s="11"/>
      <c r="K60" s="11"/>
      <c r="L60" s="12"/>
      <c r="M60" s="12"/>
      <c r="N60" s="12"/>
      <c r="O60" s="12"/>
    </row>
    <row r="61" spans="1:15">
      <c r="A61" s="3"/>
      <c r="B61" s="3"/>
      <c r="H61" s="11"/>
      <c r="I61" s="11"/>
      <c r="J61" s="11"/>
      <c r="K61" s="11"/>
      <c r="L61" s="12"/>
      <c r="M61" s="12"/>
      <c r="N61" s="12"/>
      <c r="O61" s="12"/>
    </row>
    <row r="62" spans="1:15">
      <c r="A62" s="3"/>
      <c r="B62" s="3"/>
      <c r="H62" s="11"/>
      <c r="I62" s="11"/>
      <c r="J62" s="11"/>
      <c r="K62" s="11"/>
      <c r="L62" s="12"/>
      <c r="M62" s="12"/>
      <c r="N62" s="12"/>
      <c r="O62" s="12"/>
    </row>
    <row r="63" spans="1:15">
      <c r="A63" s="3"/>
      <c r="B63" s="3"/>
      <c r="H63" s="11"/>
      <c r="I63" s="11"/>
      <c r="J63" s="11"/>
      <c r="K63" s="11"/>
      <c r="L63" s="12"/>
      <c r="M63" s="12"/>
      <c r="N63" s="12"/>
      <c r="O63" s="12"/>
    </row>
    <row r="64" spans="1:15">
      <c r="A64" s="3"/>
      <c r="B64" s="3"/>
      <c r="H64" s="11"/>
      <c r="I64" s="11"/>
      <c r="J64" s="11"/>
      <c r="K64" s="11"/>
      <c r="L64" s="12"/>
      <c r="M64" s="12"/>
      <c r="N64" s="12"/>
      <c r="O64" s="12"/>
    </row>
    <row r="65" spans="1:15">
      <c r="A65" s="3"/>
      <c r="B65" s="3"/>
      <c r="H65" s="11"/>
      <c r="I65" s="11"/>
      <c r="J65" s="11"/>
      <c r="K65" s="11"/>
      <c r="L65" s="12"/>
      <c r="M65" s="12"/>
      <c r="N65" s="12"/>
      <c r="O65" s="12"/>
    </row>
    <row r="66" spans="1:15">
      <c r="A66" s="3"/>
      <c r="B66" s="3"/>
      <c r="H66" s="11"/>
      <c r="I66" s="11"/>
      <c r="J66" s="11"/>
      <c r="K66" s="11"/>
      <c r="L66" s="12"/>
      <c r="M66" s="12"/>
      <c r="N66" s="12"/>
      <c r="O66" s="12"/>
    </row>
    <row r="67" spans="1:15">
      <c r="A67" s="3"/>
      <c r="B67" s="3"/>
      <c r="H67" s="11"/>
      <c r="I67" s="11"/>
      <c r="J67" s="11"/>
      <c r="K67" s="11"/>
      <c r="L67" s="12"/>
      <c r="M67" s="12"/>
      <c r="N67" s="12"/>
      <c r="O67" s="12"/>
    </row>
    <row r="68" spans="1:15">
      <c r="A68" s="3"/>
      <c r="B68" s="3"/>
      <c r="H68" s="11"/>
      <c r="I68" s="11"/>
      <c r="J68" s="11"/>
      <c r="K68" s="11"/>
      <c r="L68" s="12"/>
      <c r="M68" s="12"/>
      <c r="N68" s="12"/>
      <c r="O68" s="12"/>
    </row>
    <row r="69" spans="1:15">
      <c r="A69" s="3"/>
      <c r="B69" s="3"/>
      <c r="H69" s="11"/>
      <c r="I69" s="11"/>
      <c r="J69" s="11"/>
      <c r="K69" s="11"/>
      <c r="L69" s="12"/>
      <c r="M69" s="12"/>
      <c r="N69" s="12"/>
      <c r="O69" s="12"/>
    </row>
    <row r="70" spans="1:15">
      <c r="A70" s="3"/>
      <c r="B70" s="3"/>
      <c r="H70" s="11"/>
      <c r="I70" s="11"/>
      <c r="J70" s="11"/>
      <c r="K70" s="11"/>
      <c r="L70" s="12"/>
      <c r="M70" s="12"/>
      <c r="N70" s="12"/>
      <c r="O70" s="12"/>
    </row>
    <row r="71" spans="1:15">
      <c r="A71" s="3"/>
      <c r="B71" s="3"/>
      <c r="H71" s="11"/>
      <c r="I71" s="11"/>
      <c r="J71" s="11"/>
      <c r="K71" s="11"/>
      <c r="L71" s="12"/>
      <c r="M71" s="12"/>
      <c r="N71" s="12"/>
      <c r="O71" s="12"/>
    </row>
    <row r="72" spans="1:15">
      <c r="A72" s="3"/>
      <c r="B72" s="3"/>
      <c r="H72" s="11"/>
      <c r="I72" s="11"/>
      <c r="J72" s="11"/>
      <c r="K72" s="11"/>
      <c r="L72" s="12"/>
      <c r="M72" s="12"/>
      <c r="N72" s="12"/>
      <c r="O72" s="12"/>
    </row>
    <row r="73" spans="1:15">
      <c r="A73" s="3"/>
      <c r="B73" s="3"/>
      <c r="H73" s="11"/>
      <c r="I73" s="11"/>
      <c r="J73" s="11"/>
      <c r="K73" s="11"/>
      <c r="L73" s="12"/>
      <c r="M73" s="12"/>
      <c r="N73" s="12"/>
      <c r="O73" s="12"/>
    </row>
    <row r="74" spans="1:15">
      <c r="A74" s="3"/>
      <c r="B74" s="3"/>
      <c r="H74" s="11"/>
      <c r="I74" s="11"/>
      <c r="J74" s="11"/>
      <c r="K74" s="11"/>
      <c r="L74" s="12"/>
      <c r="M74" s="12"/>
      <c r="N74" s="12"/>
      <c r="O74" s="12"/>
    </row>
    <row r="75" spans="1:15">
      <c r="A75" s="3"/>
      <c r="B75" s="3"/>
      <c r="H75" s="11"/>
      <c r="I75" s="11"/>
      <c r="J75" s="11"/>
      <c r="K75" s="11"/>
      <c r="L75" s="12"/>
      <c r="M75" s="12"/>
      <c r="N75" s="12"/>
      <c r="O75" s="12"/>
    </row>
    <row r="76" spans="1:15">
      <c r="A76" s="3"/>
      <c r="B76" s="3"/>
      <c r="H76" s="11"/>
      <c r="I76" s="11"/>
      <c r="J76" s="11"/>
      <c r="K76" s="11"/>
      <c r="L76" s="12"/>
      <c r="M76" s="12"/>
      <c r="N76" s="12"/>
      <c r="O76" s="12"/>
    </row>
    <row r="77" spans="1:15">
      <c r="A77" s="3"/>
      <c r="B77" s="3"/>
      <c r="H77" s="11"/>
      <c r="I77" s="11"/>
      <c r="J77" s="11"/>
      <c r="K77" s="11"/>
      <c r="L77" s="12"/>
      <c r="M77" s="12"/>
      <c r="N77" s="12"/>
      <c r="O77" s="12"/>
    </row>
    <row r="78" spans="1:15">
      <c r="A78" s="3"/>
      <c r="B78" s="3"/>
      <c r="H78" s="11"/>
      <c r="I78" s="11"/>
      <c r="J78" s="11"/>
      <c r="K78" s="11"/>
      <c r="L78" s="12"/>
      <c r="M78" s="12"/>
      <c r="N78" s="12"/>
      <c r="O78" s="12"/>
    </row>
    <row r="79" spans="1:15">
      <c r="A79" s="3"/>
      <c r="B79" s="3"/>
      <c r="H79" s="11"/>
      <c r="I79" s="11"/>
      <c r="J79" s="11"/>
      <c r="K79" s="11"/>
      <c r="L79" s="12"/>
      <c r="M79" s="12"/>
      <c r="N79" s="12"/>
      <c r="O79" s="12"/>
    </row>
    <row r="80" spans="1:15">
      <c r="A80" s="3"/>
      <c r="B80" s="3"/>
      <c r="H80" s="11"/>
      <c r="I80" s="11"/>
      <c r="J80" s="11"/>
      <c r="K80" s="11"/>
      <c r="L80" s="12"/>
      <c r="M80" s="12"/>
      <c r="N80" s="12"/>
      <c r="O80" s="12"/>
    </row>
    <row r="81" spans="1:15">
      <c r="A81" s="3"/>
      <c r="B81" s="3"/>
      <c r="H81" s="11"/>
      <c r="I81" s="11"/>
      <c r="J81" s="11"/>
      <c r="K81" s="11"/>
      <c r="L81" s="12"/>
      <c r="M81" s="12"/>
      <c r="N81" s="12"/>
      <c r="O81" s="12"/>
    </row>
    <row r="82" spans="1:15">
      <c r="A82" s="3"/>
      <c r="B82" s="3"/>
      <c r="H82" s="11"/>
      <c r="I82" s="11"/>
      <c r="J82" s="11"/>
      <c r="K82" s="11"/>
      <c r="L82" s="12"/>
      <c r="M82" s="12"/>
      <c r="N82" s="12"/>
      <c r="O82" s="12"/>
    </row>
    <row r="83" spans="1:15">
      <c r="A83" s="3"/>
      <c r="B83" s="3"/>
      <c r="H83" s="11"/>
      <c r="I83" s="11"/>
      <c r="J83" s="11"/>
      <c r="K83" s="11"/>
      <c r="L83" s="12"/>
      <c r="M83" s="12"/>
      <c r="N83" s="12"/>
      <c r="O83" s="12"/>
    </row>
    <row r="84" spans="1:15">
      <c r="A84" s="3"/>
      <c r="B84" s="3"/>
      <c r="H84" s="11"/>
      <c r="I84" s="11"/>
      <c r="J84" s="11"/>
      <c r="K84" s="11"/>
      <c r="L84" s="12"/>
      <c r="M84" s="12"/>
      <c r="N84" s="12"/>
      <c r="O84" s="12"/>
    </row>
    <row r="85" spans="1:15">
      <c r="A85" s="3"/>
      <c r="B85" s="3"/>
      <c r="H85" s="11"/>
      <c r="I85" s="11"/>
      <c r="J85" s="11"/>
      <c r="K85" s="11"/>
      <c r="L85" s="12"/>
      <c r="M85" s="12"/>
      <c r="N85" s="12"/>
      <c r="O85" s="12"/>
    </row>
    <row r="86" spans="1:15">
      <c r="A86" s="3"/>
      <c r="B86" s="3"/>
      <c r="H86" s="11"/>
      <c r="I86" s="11"/>
      <c r="J86" s="11"/>
      <c r="K86" s="11"/>
      <c r="L86" s="12"/>
      <c r="M86" s="12"/>
      <c r="N86" s="12"/>
      <c r="O86" s="12"/>
    </row>
    <row r="87" spans="1:15">
      <c r="A87" s="3"/>
      <c r="B87" s="3"/>
      <c r="H87" s="11"/>
      <c r="I87" s="11"/>
      <c r="J87" s="11"/>
      <c r="K87" s="11"/>
      <c r="L87" s="12"/>
      <c r="M87" s="12"/>
      <c r="N87" s="12"/>
      <c r="O87" s="12"/>
    </row>
    <row r="88" spans="1:15">
      <c r="A88" s="3"/>
      <c r="B88" s="3"/>
      <c r="H88" s="11"/>
      <c r="I88" s="11"/>
      <c r="J88" s="11"/>
      <c r="K88" s="11"/>
      <c r="L88" s="12"/>
      <c r="M88" s="12"/>
      <c r="N88" s="12"/>
      <c r="O88" s="12"/>
    </row>
    <row r="89" spans="1:15">
      <c r="A89" s="3"/>
      <c r="B89" s="3"/>
      <c r="H89" s="11"/>
      <c r="I89" s="11"/>
      <c r="J89" s="11"/>
      <c r="K89" s="11"/>
      <c r="L89" s="12"/>
      <c r="M89" s="12"/>
      <c r="N89" s="12"/>
      <c r="O89" s="12"/>
    </row>
    <row r="90" spans="1:15">
      <c r="A90" s="3"/>
      <c r="B90" s="3"/>
      <c r="H90" s="11"/>
      <c r="I90" s="11"/>
      <c r="J90" s="11"/>
      <c r="K90" s="11"/>
      <c r="L90" s="12"/>
      <c r="M90" s="12"/>
      <c r="N90" s="12"/>
      <c r="O90" s="12"/>
    </row>
    <row r="91" spans="1:15">
      <c r="A91" s="3"/>
      <c r="B91" s="3"/>
      <c r="H91" s="11"/>
      <c r="I91" s="11"/>
      <c r="J91" s="11"/>
      <c r="K91" s="11"/>
      <c r="L91" s="12"/>
      <c r="M91" s="12"/>
      <c r="N91" s="12"/>
      <c r="O91" s="12"/>
    </row>
    <row r="92" spans="1:15">
      <c r="A92" s="3"/>
      <c r="B92" s="3"/>
      <c r="H92" s="11"/>
      <c r="I92" s="11"/>
      <c r="J92" s="11"/>
      <c r="K92" s="11"/>
      <c r="L92" s="12"/>
      <c r="M92" s="12"/>
      <c r="N92" s="12"/>
      <c r="O92" s="12"/>
    </row>
    <row r="93" spans="1:15">
      <c r="A93" s="3"/>
      <c r="B93" s="3"/>
      <c r="H93" s="11"/>
      <c r="I93" s="11"/>
      <c r="J93" s="11"/>
      <c r="K93" s="11"/>
      <c r="L93" s="12"/>
      <c r="M93" s="12"/>
      <c r="N93" s="12"/>
      <c r="O93" s="12"/>
    </row>
    <row r="94" spans="1:15">
      <c r="A94" s="3"/>
      <c r="B94" s="3"/>
      <c r="H94" s="11"/>
      <c r="I94" s="11"/>
      <c r="J94" s="11"/>
      <c r="K94" s="11"/>
      <c r="L94" s="12"/>
      <c r="M94" s="12"/>
      <c r="N94" s="12"/>
      <c r="O94" s="12"/>
    </row>
    <row r="95" spans="1:15">
      <c r="A95" s="3"/>
      <c r="B95" s="3"/>
      <c r="H95" s="11"/>
      <c r="I95" s="11"/>
      <c r="J95" s="11"/>
      <c r="K95" s="11"/>
      <c r="L95" s="12"/>
      <c r="M95" s="12"/>
      <c r="N95" s="12"/>
      <c r="O95" s="12"/>
    </row>
    <row r="96" spans="1:15">
      <c r="A96" s="3"/>
      <c r="B96" s="3"/>
      <c r="H96" s="11"/>
      <c r="I96" s="11"/>
      <c r="J96" s="11"/>
      <c r="K96" s="11"/>
      <c r="L96" s="12"/>
      <c r="M96" s="12"/>
      <c r="N96" s="12"/>
      <c r="O96" s="12"/>
    </row>
    <row r="97" spans="1:15">
      <c r="A97" s="3"/>
      <c r="B97" s="3"/>
      <c r="H97" s="11"/>
      <c r="I97" s="11"/>
      <c r="J97" s="11"/>
      <c r="K97" s="11"/>
      <c r="L97" s="12"/>
      <c r="M97" s="12"/>
      <c r="N97" s="12"/>
      <c r="O97" s="12"/>
    </row>
    <row r="98" spans="1:15">
      <c r="A98" s="3"/>
      <c r="B98" s="3"/>
      <c r="H98" s="11"/>
      <c r="I98" s="11"/>
      <c r="J98" s="11"/>
      <c r="K98" s="11"/>
      <c r="L98" s="12"/>
      <c r="M98" s="12"/>
      <c r="N98" s="12"/>
      <c r="O98" s="12"/>
    </row>
    <row r="99" spans="1:15">
      <c r="A99" s="3"/>
      <c r="B99" s="3"/>
      <c r="H99" s="11"/>
      <c r="I99" s="11"/>
      <c r="J99" s="11"/>
      <c r="K99" s="11"/>
      <c r="L99" s="12"/>
      <c r="M99" s="12"/>
      <c r="N99" s="12"/>
      <c r="O99" s="12"/>
    </row>
    <row r="100" spans="1:15">
      <c r="A100" s="3"/>
      <c r="B100" s="3"/>
      <c r="H100" s="11"/>
      <c r="I100" s="11"/>
      <c r="J100" s="11"/>
      <c r="K100" s="11"/>
      <c r="L100" s="12"/>
      <c r="M100" s="12"/>
      <c r="N100" s="12"/>
      <c r="O100" s="12"/>
    </row>
    <row r="101" spans="1:15">
      <c r="A101" s="3"/>
      <c r="B101" s="3"/>
      <c r="H101" s="11"/>
      <c r="I101" s="11"/>
      <c r="J101" s="11"/>
      <c r="K101" s="11"/>
      <c r="L101" s="12"/>
      <c r="M101" s="12"/>
      <c r="N101" s="12"/>
      <c r="O101" s="12"/>
    </row>
    <row r="102" spans="1:15">
      <c r="A102" s="3"/>
      <c r="B102" s="3"/>
      <c r="H102" s="11"/>
      <c r="I102" s="11"/>
      <c r="J102" s="11"/>
      <c r="K102" s="11"/>
      <c r="L102" s="12"/>
      <c r="M102" s="12"/>
      <c r="N102" s="12"/>
      <c r="O102" s="12"/>
    </row>
    <row r="103" spans="1:15">
      <c r="A103" s="3"/>
      <c r="B103" s="3"/>
      <c r="H103" s="11"/>
      <c r="I103" s="11"/>
      <c r="J103" s="11"/>
      <c r="K103" s="11"/>
      <c r="L103" s="12"/>
      <c r="M103" s="12"/>
      <c r="N103" s="12"/>
      <c r="O103" s="12"/>
    </row>
    <row r="104" spans="1:15">
      <c r="A104" s="3"/>
      <c r="B104" s="3"/>
      <c r="H104" s="11"/>
      <c r="I104" s="11"/>
      <c r="J104" s="11"/>
      <c r="K104" s="11"/>
      <c r="L104" s="12"/>
      <c r="M104" s="12"/>
      <c r="N104" s="12"/>
      <c r="O104" s="12"/>
    </row>
    <row r="105" spans="1:15">
      <c r="A105" s="3"/>
      <c r="B105" s="3"/>
      <c r="H105" s="11"/>
      <c r="I105" s="11"/>
      <c r="J105" s="11"/>
      <c r="K105" s="11"/>
      <c r="L105" s="12"/>
      <c r="M105" s="12"/>
      <c r="N105" s="12"/>
      <c r="O105" s="12"/>
    </row>
    <row r="106" spans="1:15">
      <c r="A106" s="3"/>
      <c r="B106" s="3"/>
      <c r="H106" s="11"/>
      <c r="I106" s="11"/>
      <c r="J106" s="11"/>
      <c r="K106" s="11"/>
      <c r="L106" s="12"/>
      <c r="M106" s="12"/>
      <c r="N106" s="12"/>
      <c r="O106" s="12"/>
    </row>
    <row r="107" spans="1:15">
      <c r="A107" s="3"/>
      <c r="B107" s="3"/>
      <c r="H107" s="11"/>
      <c r="I107" s="11"/>
      <c r="J107" s="11"/>
      <c r="K107" s="11"/>
      <c r="L107" s="12"/>
      <c r="M107" s="12"/>
      <c r="N107" s="12"/>
      <c r="O107" s="12"/>
    </row>
    <row r="108" spans="1:15">
      <c r="A108" s="3"/>
      <c r="B108" s="3"/>
      <c r="H108" s="11"/>
      <c r="I108" s="11"/>
      <c r="J108" s="11"/>
      <c r="K108" s="11"/>
      <c r="L108" s="12"/>
      <c r="M108" s="12"/>
      <c r="N108" s="12"/>
      <c r="O108" s="12"/>
    </row>
    <row r="109" spans="1:15">
      <c r="A109" s="3"/>
      <c r="B109" s="3"/>
      <c r="H109" s="11"/>
      <c r="I109" s="11"/>
      <c r="J109" s="11"/>
      <c r="K109" s="11"/>
      <c r="L109" s="12"/>
      <c r="M109" s="12"/>
      <c r="N109" s="12"/>
      <c r="O109" s="12"/>
    </row>
    <row r="110" spans="1:15">
      <c r="A110" s="3"/>
      <c r="B110" s="3"/>
      <c r="H110" s="11"/>
      <c r="I110" s="11"/>
      <c r="J110" s="11"/>
      <c r="K110" s="11"/>
      <c r="L110" s="12"/>
      <c r="M110" s="12"/>
      <c r="N110" s="12"/>
      <c r="O110" s="12"/>
    </row>
    <row r="111" spans="1:15">
      <c r="A111" s="3"/>
      <c r="B111" s="3"/>
      <c r="H111" s="11"/>
      <c r="I111" s="11"/>
      <c r="J111" s="11"/>
      <c r="K111" s="11"/>
      <c r="L111" s="12"/>
      <c r="M111" s="12"/>
      <c r="N111" s="12"/>
      <c r="O111" s="12"/>
    </row>
    <row r="112" spans="1:15">
      <c r="A112" s="3"/>
      <c r="B112" s="3"/>
      <c r="H112" s="11"/>
      <c r="I112" s="11"/>
      <c r="J112" s="11"/>
      <c r="K112" s="11"/>
      <c r="L112" s="12"/>
      <c r="M112" s="12"/>
      <c r="N112" s="12"/>
      <c r="O112" s="12"/>
    </row>
    <row r="113" spans="1:15">
      <c r="A113" s="3"/>
      <c r="B113" s="3"/>
      <c r="H113" s="11"/>
      <c r="I113" s="11"/>
      <c r="J113" s="11"/>
      <c r="K113" s="11"/>
      <c r="L113" s="12"/>
      <c r="M113" s="12"/>
      <c r="N113" s="12"/>
      <c r="O113" s="12"/>
    </row>
    <row r="114" spans="1:15">
      <c r="A114" s="3"/>
      <c r="B114" s="3"/>
      <c r="H114" s="11"/>
      <c r="I114" s="11"/>
      <c r="J114" s="11"/>
      <c r="K114" s="11"/>
      <c r="L114" s="12"/>
      <c r="M114" s="12"/>
      <c r="N114" s="12"/>
      <c r="O114" s="12"/>
    </row>
    <row r="115" spans="1:15">
      <c r="A115" s="3"/>
      <c r="B115" s="3"/>
      <c r="H115" s="11"/>
      <c r="I115" s="11"/>
      <c r="J115" s="11"/>
      <c r="K115" s="11"/>
      <c r="L115" s="12"/>
      <c r="M115" s="12"/>
      <c r="N115" s="12"/>
      <c r="O115" s="12"/>
    </row>
    <row r="116" spans="1:15">
      <c r="A116" s="3"/>
      <c r="B116" s="3"/>
      <c r="H116" s="11"/>
      <c r="I116" s="11"/>
      <c r="J116" s="11"/>
      <c r="K116" s="11"/>
      <c r="L116" s="12"/>
      <c r="M116" s="12"/>
      <c r="N116" s="12"/>
      <c r="O116" s="12"/>
    </row>
    <row r="117" spans="1:15">
      <c r="A117" s="3"/>
      <c r="B117" s="3"/>
      <c r="H117" s="11"/>
      <c r="I117" s="11"/>
      <c r="J117" s="11"/>
      <c r="K117" s="11"/>
      <c r="L117" s="12"/>
      <c r="M117" s="12"/>
      <c r="N117" s="12"/>
      <c r="O117" s="12"/>
    </row>
    <row r="118" spans="1:15">
      <c r="A118" s="3"/>
      <c r="B118" s="3"/>
      <c r="H118" s="11"/>
      <c r="I118" s="11"/>
      <c r="J118" s="11"/>
      <c r="K118" s="11"/>
      <c r="L118" s="12"/>
      <c r="M118" s="12"/>
      <c r="N118" s="12"/>
      <c r="O118" s="12"/>
    </row>
    <row r="119" spans="1:15">
      <c r="A119" s="3"/>
      <c r="B119" s="3"/>
      <c r="H119" s="11"/>
      <c r="I119" s="11"/>
      <c r="J119" s="11"/>
      <c r="K119" s="11"/>
      <c r="L119" s="12"/>
      <c r="M119" s="12"/>
      <c r="N119" s="12"/>
      <c r="O119" s="12"/>
    </row>
    <row r="120" spans="1:15">
      <c r="A120" s="3"/>
      <c r="B120" s="3"/>
      <c r="H120" s="11"/>
      <c r="I120" s="11"/>
      <c r="J120" s="11"/>
      <c r="K120" s="11"/>
      <c r="L120" s="12"/>
      <c r="M120" s="12"/>
      <c r="N120" s="12"/>
      <c r="O120" s="12"/>
    </row>
    <row r="121" spans="1:15">
      <c r="A121" s="3"/>
      <c r="B121" s="3"/>
      <c r="H121" s="11"/>
      <c r="I121" s="11"/>
      <c r="J121" s="11"/>
      <c r="K121" s="11"/>
      <c r="L121" s="12"/>
      <c r="M121" s="12"/>
      <c r="N121" s="12"/>
      <c r="O121" s="12"/>
    </row>
    <row r="122" spans="1:15">
      <c r="A122" s="3"/>
      <c r="B122" s="3"/>
      <c r="H122" s="11"/>
      <c r="I122" s="11"/>
      <c r="J122" s="11"/>
      <c r="K122" s="11"/>
      <c r="L122" s="12"/>
      <c r="M122" s="12"/>
      <c r="N122" s="12"/>
      <c r="O122" s="12"/>
    </row>
    <row r="123" spans="1:15">
      <c r="A123" s="3"/>
      <c r="B123" s="3"/>
      <c r="H123" s="11"/>
      <c r="I123" s="11"/>
      <c r="J123" s="11"/>
      <c r="K123" s="11"/>
      <c r="L123" s="12"/>
      <c r="M123" s="12"/>
      <c r="N123" s="12"/>
      <c r="O123" s="12"/>
    </row>
    <row r="124" spans="1:15">
      <c r="A124" s="3"/>
      <c r="B124" s="3"/>
      <c r="H124" s="11"/>
      <c r="I124" s="11"/>
      <c r="J124" s="11"/>
      <c r="K124" s="11"/>
      <c r="L124" s="12"/>
      <c r="M124" s="12"/>
      <c r="N124" s="12"/>
      <c r="O124" s="12"/>
    </row>
    <row r="125" spans="1:15">
      <c r="A125" s="3"/>
      <c r="B125" s="3"/>
      <c r="H125" s="11"/>
      <c r="I125" s="11"/>
      <c r="J125" s="11"/>
      <c r="K125" s="11"/>
      <c r="L125" s="12"/>
      <c r="M125" s="12"/>
      <c r="N125" s="12"/>
      <c r="O125" s="12"/>
    </row>
    <row r="126" spans="1:15">
      <c r="A126" s="3"/>
      <c r="B126" s="3"/>
      <c r="H126" s="11"/>
      <c r="I126" s="11"/>
      <c r="J126" s="11"/>
      <c r="K126" s="11"/>
      <c r="L126" s="12"/>
      <c r="M126" s="12"/>
      <c r="N126" s="12"/>
      <c r="O126" s="12"/>
    </row>
    <row r="127" spans="1:15">
      <c r="A127" s="3"/>
      <c r="B127" s="3"/>
      <c r="H127" s="11"/>
      <c r="I127" s="11"/>
      <c r="J127" s="11"/>
      <c r="K127" s="11"/>
      <c r="L127" s="12"/>
      <c r="M127" s="12"/>
      <c r="N127" s="12"/>
      <c r="O127" s="12"/>
    </row>
    <row r="128" spans="1:15">
      <c r="A128" s="3"/>
      <c r="B128" s="3"/>
      <c r="H128" s="11"/>
      <c r="I128" s="11"/>
      <c r="J128" s="11"/>
      <c r="K128" s="11"/>
      <c r="L128" s="12"/>
      <c r="M128" s="12"/>
      <c r="N128" s="12"/>
      <c r="O128" s="12"/>
    </row>
    <row r="129" spans="1:15">
      <c r="A129" s="3"/>
      <c r="B129" s="3"/>
      <c r="H129" s="11"/>
      <c r="I129" s="11"/>
      <c r="J129" s="11"/>
      <c r="K129" s="11"/>
      <c r="L129" s="12"/>
      <c r="M129" s="12"/>
      <c r="N129" s="12"/>
      <c r="O129" s="12"/>
    </row>
    <row r="130" spans="1:15">
      <c r="A130" s="3"/>
      <c r="B130" s="3"/>
      <c r="H130" s="11"/>
      <c r="I130" s="11"/>
      <c r="J130" s="11"/>
      <c r="K130" s="11"/>
      <c r="L130" s="12"/>
      <c r="M130" s="12"/>
      <c r="N130" s="12"/>
      <c r="O130" s="12"/>
    </row>
    <row r="131" spans="1:15">
      <c r="A131" s="3"/>
      <c r="B131" s="3"/>
      <c r="H131" s="11"/>
      <c r="I131" s="11"/>
      <c r="J131" s="11"/>
      <c r="K131" s="11"/>
      <c r="L131" s="12"/>
      <c r="M131" s="12"/>
      <c r="N131" s="12"/>
      <c r="O131" s="12"/>
    </row>
    <row r="132" spans="1:15">
      <c r="A132" s="3"/>
      <c r="B132" s="3"/>
      <c r="H132" s="11"/>
      <c r="I132" s="11"/>
      <c r="J132" s="11"/>
      <c r="K132" s="11"/>
      <c r="L132" s="12"/>
      <c r="M132" s="12"/>
      <c r="N132" s="12"/>
      <c r="O132" s="12"/>
    </row>
    <row r="133" spans="1:15">
      <c r="A133" s="3"/>
      <c r="B133" s="3"/>
      <c r="H133" s="11"/>
      <c r="I133" s="11"/>
      <c r="J133" s="11"/>
      <c r="K133" s="11"/>
      <c r="L133" s="12"/>
      <c r="M133" s="12"/>
      <c r="N133" s="12"/>
      <c r="O133" s="12"/>
    </row>
    <row r="134" spans="1:15">
      <c r="A134" s="3"/>
      <c r="B134" s="3"/>
      <c r="H134" s="11"/>
      <c r="I134" s="11"/>
      <c r="J134" s="11"/>
      <c r="K134" s="11"/>
      <c r="L134" s="12"/>
      <c r="M134" s="12"/>
      <c r="N134" s="12"/>
      <c r="O134" s="12"/>
    </row>
    <row r="135" spans="1:15">
      <c r="A135" s="3"/>
      <c r="B135" s="3"/>
      <c r="H135" s="11"/>
      <c r="I135" s="11"/>
      <c r="J135" s="11"/>
      <c r="K135" s="11"/>
      <c r="L135" s="12"/>
      <c r="M135" s="12"/>
      <c r="N135" s="12"/>
      <c r="O135" s="12"/>
    </row>
    <row r="136" spans="1:15">
      <c r="A136" s="3"/>
      <c r="B136" s="3"/>
      <c r="H136" s="11"/>
      <c r="I136" s="11"/>
      <c r="J136" s="11"/>
      <c r="K136" s="11"/>
      <c r="L136" s="12"/>
      <c r="M136" s="12"/>
      <c r="N136" s="12"/>
      <c r="O136" s="12"/>
    </row>
    <row r="137" spans="1:15">
      <c r="A137" s="3"/>
      <c r="B137" s="3"/>
      <c r="H137" s="11"/>
      <c r="I137" s="11"/>
      <c r="J137" s="11"/>
      <c r="K137" s="11"/>
      <c r="L137" s="12"/>
      <c r="M137" s="12"/>
      <c r="N137" s="12"/>
      <c r="O137" s="12"/>
    </row>
    <row r="138" spans="1:15">
      <c r="A138" s="3"/>
      <c r="B138" s="3"/>
      <c r="H138" s="11"/>
      <c r="I138" s="11"/>
      <c r="J138" s="11"/>
      <c r="K138" s="11"/>
      <c r="L138" s="12"/>
      <c r="M138" s="12"/>
      <c r="N138" s="12"/>
      <c r="O138" s="12"/>
    </row>
    <row r="139" spans="1:15">
      <c r="A139" s="3"/>
      <c r="B139" s="3"/>
      <c r="H139" s="11"/>
      <c r="I139" s="11"/>
      <c r="J139" s="11"/>
      <c r="K139" s="11"/>
      <c r="L139" s="12"/>
      <c r="M139" s="12"/>
      <c r="N139" s="12"/>
      <c r="O139" s="12"/>
    </row>
    <row r="140" spans="1:15">
      <c r="A140" s="3"/>
      <c r="B140" s="3"/>
      <c r="H140" s="11"/>
      <c r="I140" s="11"/>
      <c r="J140" s="11"/>
      <c r="K140" s="11"/>
      <c r="L140" s="12"/>
      <c r="M140" s="12"/>
      <c r="N140" s="12"/>
      <c r="O140" s="12"/>
    </row>
    <row r="141" spans="1:15">
      <c r="A141" s="3"/>
      <c r="B141" s="3"/>
      <c r="H141" s="11"/>
      <c r="I141" s="11"/>
      <c r="J141" s="11"/>
      <c r="K141" s="11"/>
      <c r="L141" s="12"/>
      <c r="M141" s="12"/>
      <c r="N141" s="12"/>
      <c r="O141" s="12"/>
    </row>
    <row r="142" spans="1:15">
      <c r="A142" s="3"/>
      <c r="B142" s="3"/>
      <c r="H142" s="11"/>
      <c r="I142" s="11"/>
      <c r="J142" s="11"/>
      <c r="K142" s="11"/>
      <c r="L142" s="12"/>
      <c r="M142" s="12"/>
      <c r="N142" s="12"/>
      <c r="O142" s="12"/>
    </row>
    <row r="143" spans="1:15">
      <c r="A143" s="3"/>
      <c r="B143" s="3"/>
      <c r="H143" s="11"/>
      <c r="I143" s="11"/>
      <c r="J143" s="11"/>
      <c r="K143" s="11"/>
      <c r="L143" s="12"/>
      <c r="M143" s="12"/>
      <c r="N143" s="12"/>
      <c r="O143" s="12"/>
    </row>
    <row r="144" spans="1:15">
      <c r="A144" s="3"/>
      <c r="B144" s="3"/>
      <c r="H144" s="11"/>
      <c r="I144" s="11"/>
      <c r="J144" s="11"/>
      <c r="K144" s="11"/>
      <c r="L144" s="12"/>
      <c r="M144" s="12"/>
      <c r="N144" s="12"/>
      <c r="O144" s="12"/>
    </row>
    <row r="145" spans="1:15">
      <c r="A145" s="3"/>
      <c r="B145" s="3"/>
      <c r="H145" s="11"/>
      <c r="I145" s="11"/>
      <c r="J145" s="11"/>
      <c r="K145" s="11"/>
      <c r="L145" s="12"/>
      <c r="M145" s="12"/>
      <c r="N145" s="12"/>
      <c r="O145" s="12"/>
    </row>
    <row r="146" spans="1:15">
      <c r="A146" s="3"/>
      <c r="B146" s="3"/>
      <c r="H146" s="11"/>
      <c r="I146" s="11"/>
      <c r="J146" s="11"/>
      <c r="K146" s="11"/>
      <c r="L146" s="12"/>
      <c r="M146" s="12"/>
      <c r="N146" s="12"/>
      <c r="O146" s="12"/>
    </row>
    <row r="147" spans="1:15">
      <c r="A147" s="3"/>
      <c r="B147" s="3"/>
      <c r="H147" s="11"/>
      <c r="I147" s="11"/>
      <c r="J147" s="11"/>
      <c r="K147" s="11"/>
      <c r="L147" s="12"/>
      <c r="M147" s="12"/>
      <c r="N147" s="12"/>
      <c r="O147" s="12"/>
    </row>
    <row r="148" spans="1:15">
      <c r="A148" s="3"/>
      <c r="B148" s="3"/>
      <c r="H148" s="11"/>
      <c r="I148" s="11"/>
      <c r="J148" s="11"/>
      <c r="K148" s="11"/>
      <c r="L148" s="12"/>
      <c r="M148" s="12"/>
      <c r="N148" s="12"/>
      <c r="O148" s="12"/>
    </row>
    <row r="149" spans="1:15">
      <c r="A149" s="3"/>
      <c r="B149" s="3"/>
      <c r="H149" s="11"/>
      <c r="I149" s="11"/>
      <c r="J149" s="11"/>
      <c r="K149" s="11"/>
      <c r="L149" s="12"/>
      <c r="M149" s="12"/>
      <c r="N149" s="12"/>
      <c r="O149" s="12"/>
    </row>
    <row r="150" spans="1:15">
      <c r="A150" s="3"/>
      <c r="B150" s="3"/>
      <c r="H150" s="11"/>
      <c r="I150" s="11"/>
      <c r="J150" s="11"/>
      <c r="K150" s="11"/>
      <c r="L150" s="12"/>
      <c r="M150" s="12"/>
      <c r="N150" s="12"/>
      <c r="O150" s="12"/>
    </row>
    <row r="151" spans="1:15">
      <c r="A151" s="3"/>
      <c r="B151" s="3"/>
      <c r="H151" s="11"/>
      <c r="I151" s="11"/>
      <c r="J151" s="11"/>
      <c r="K151" s="11"/>
      <c r="L151" s="12"/>
      <c r="M151" s="12"/>
      <c r="N151" s="12"/>
      <c r="O151" s="12"/>
    </row>
    <row r="152" spans="1:15">
      <c r="A152" s="3"/>
      <c r="B152" s="3"/>
      <c r="H152" s="11"/>
      <c r="I152" s="11"/>
      <c r="J152" s="11"/>
      <c r="K152" s="11"/>
      <c r="L152" s="12"/>
      <c r="M152" s="12"/>
      <c r="N152" s="12"/>
      <c r="O152" s="12"/>
    </row>
    <row r="153" spans="1:15">
      <c r="A153" s="3"/>
      <c r="B153" s="3"/>
      <c r="H153" s="11"/>
      <c r="I153" s="11"/>
      <c r="J153" s="11"/>
      <c r="K153" s="11"/>
      <c r="L153" s="12"/>
      <c r="M153" s="12"/>
      <c r="N153" s="12"/>
      <c r="O153" s="12"/>
    </row>
    <row r="154" spans="1:15">
      <c r="A154" s="3"/>
      <c r="B154" s="3"/>
      <c r="H154" s="11"/>
      <c r="I154" s="11"/>
      <c r="J154" s="11"/>
      <c r="K154" s="11"/>
      <c r="L154" s="12"/>
      <c r="M154" s="12"/>
      <c r="N154" s="12"/>
      <c r="O154" s="12"/>
    </row>
    <row r="155" spans="1:15">
      <c r="A155" s="3"/>
      <c r="B155" s="3"/>
      <c r="H155" s="11"/>
      <c r="I155" s="11"/>
      <c r="J155" s="11"/>
      <c r="K155" s="11"/>
      <c r="L155" s="12"/>
      <c r="M155" s="12"/>
      <c r="N155" s="12"/>
      <c r="O155" s="12"/>
    </row>
    <row r="156" spans="1:15">
      <c r="A156" s="3"/>
      <c r="B156" s="3"/>
      <c r="H156" s="11"/>
      <c r="I156" s="11"/>
      <c r="J156" s="11"/>
      <c r="K156" s="11"/>
      <c r="L156" s="12"/>
      <c r="M156" s="12"/>
      <c r="N156" s="12"/>
      <c r="O156" s="12"/>
    </row>
    <row r="157" spans="1:15">
      <c r="A157" s="3"/>
      <c r="B157" s="3"/>
      <c r="H157" s="11"/>
      <c r="I157" s="11"/>
      <c r="J157" s="11"/>
      <c r="K157" s="11"/>
      <c r="L157" s="12"/>
      <c r="M157" s="12"/>
      <c r="N157" s="12"/>
      <c r="O157" s="12"/>
    </row>
    <row r="158" spans="1:15">
      <c r="A158" s="3"/>
      <c r="B158" s="3"/>
      <c r="H158" s="11"/>
      <c r="I158" s="11"/>
      <c r="J158" s="11"/>
      <c r="K158" s="11"/>
      <c r="L158" s="12"/>
      <c r="M158" s="12"/>
      <c r="N158" s="12"/>
      <c r="O158" s="12"/>
    </row>
    <row r="159" spans="1:15">
      <c r="A159" s="3"/>
      <c r="B159" s="3"/>
      <c r="H159" s="11"/>
      <c r="I159" s="11"/>
      <c r="J159" s="11"/>
      <c r="K159" s="11"/>
      <c r="L159" s="12"/>
      <c r="M159" s="12"/>
      <c r="N159" s="12"/>
      <c r="O159" s="12"/>
    </row>
    <row r="160" spans="1:15">
      <c r="A160" s="3"/>
      <c r="B160" s="3"/>
      <c r="H160" s="11"/>
      <c r="I160" s="11"/>
      <c r="J160" s="11"/>
      <c r="K160" s="11"/>
      <c r="L160" s="12"/>
      <c r="M160" s="12"/>
      <c r="N160" s="12"/>
      <c r="O160" s="12"/>
    </row>
    <row r="161" spans="1:15">
      <c r="A161" s="3"/>
      <c r="B161" s="3"/>
      <c r="H161" s="11"/>
      <c r="I161" s="11"/>
      <c r="J161" s="11"/>
      <c r="K161" s="11"/>
      <c r="L161" s="12"/>
      <c r="M161" s="12"/>
      <c r="N161" s="12"/>
      <c r="O161" s="12"/>
    </row>
    <row r="162" spans="1:15">
      <c r="A162" s="3"/>
      <c r="B162" s="3"/>
      <c r="H162" s="11"/>
      <c r="I162" s="11"/>
      <c r="J162" s="11"/>
      <c r="K162" s="11"/>
      <c r="L162" s="12"/>
      <c r="M162" s="12"/>
      <c r="N162" s="12"/>
      <c r="O162" s="12"/>
    </row>
    <row r="163" spans="1:15">
      <c r="A163" s="3"/>
      <c r="B163" s="3"/>
      <c r="H163" s="11"/>
      <c r="I163" s="11"/>
      <c r="J163" s="11"/>
      <c r="K163" s="11"/>
      <c r="L163" s="12"/>
      <c r="M163" s="12"/>
      <c r="N163" s="12"/>
      <c r="O163" s="12"/>
    </row>
    <row r="164" spans="1:15">
      <c r="A164" s="3"/>
      <c r="B164" s="3"/>
      <c r="H164" s="11"/>
      <c r="I164" s="11"/>
      <c r="J164" s="11"/>
      <c r="K164" s="11"/>
      <c r="L164" s="12"/>
      <c r="M164" s="12"/>
      <c r="N164" s="12"/>
      <c r="O164" s="12"/>
    </row>
    <row r="165" spans="1:15">
      <c r="A165" s="3"/>
      <c r="B165" s="3"/>
      <c r="H165" s="11"/>
      <c r="I165" s="11"/>
      <c r="J165" s="11"/>
      <c r="K165" s="11"/>
      <c r="L165" s="12"/>
      <c r="M165" s="12"/>
      <c r="N165" s="12"/>
      <c r="O165" s="12"/>
    </row>
    <row r="166" spans="1:15">
      <c r="A166" s="3"/>
      <c r="B166" s="3"/>
      <c r="H166" s="11"/>
      <c r="I166" s="11"/>
      <c r="J166" s="11"/>
      <c r="K166" s="11"/>
      <c r="L166" s="12"/>
      <c r="M166" s="12"/>
      <c r="N166" s="12"/>
      <c r="O166" s="12"/>
    </row>
    <row r="167" spans="1:15">
      <c r="A167" s="3"/>
      <c r="B167" s="3"/>
      <c r="H167" s="11"/>
      <c r="I167" s="11"/>
      <c r="J167" s="11"/>
      <c r="K167" s="11"/>
      <c r="L167" s="12"/>
      <c r="M167" s="12"/>
      <c r="N167" s="12"/>
      <c r="O167" s="12"/>
    </row>
    <row r="168" spans="1:15">
      <c r="A168" s="3"/>
      <c r="B168" s="3"/>
      <c r="H168" s="11"/>
      <c r="I168" s="11"/>
      <c r="J168" s="11"/>
      <c r="K168" s="11"/>
      <c r="L168" s="12"/>
      <c r="M168" s="12"/>
      <c r="N168" s="12"/>
      <c r="O168" s="12"/>
    </row>
    <row r="169" spans="1:15">
      <c r="A169" s="3"/>
      <c r="B169" s="3"/>
      <c r="H169" s="11"/>
      <c r="I169" s="11"/>
      <c r="J169" s="11"/>
      <c r="K169" s="11"/>
      <c r="L169" s="12"/>
      <c r="M169" s="12"/>
      <c r="N169" s="12"/>
      <c r="O169" s="12"/>
    </row>
    <row r="170" spans="1:15">
      <c r="A170" s="3"/>
      <c r="B170" s="3"/>
      <c r="H170" s="11"/>
      <c r="I170" s="11"/>
      <c r="J170" s="11"/>
      <c r="K170" s="11"/>
      <c r="L170" s="12"/>
      <c r="M170" s="12"/>
      <c r="N170" s="12"/>
      <c r="O170" s="12"/>
    </row>
    <row r="171" spans="1:15">
      <c r="A171" s="3"/>
      <c r="B171" s="3"/>
      <c r="H171" s="11"/>
      <c r="I171" s="11"/>
      <c r="J171" s="11"/>
      <c r="K171" s="11"/>
      <c r="L171" s="12"/>
      <c r="M171" s="12"/>
      <c r="N171" s="12"/>
      <c r="O171" s="12"/>
    </row>
    <row r="172" spans="1:15">
      <c r="A172" s="3"/>
      <c r="B172" s="3"/>
      <c r="H172" s="11"/>
      <c r="I172" s="11"/>
      <c r="J172" s="11"/>
      <c r="K172" s="11"/>
      <c r="L172" s="12"/>
      <c r="M172" s="12"/>
      <c r="N172" s="12"/>
      <c r="O172" s="12"/>
    </row>
    <row r="173" spans="1:15">
      <c r="A173" s="3"/>
      <c r="B173" s="3"/>
      <c r="H173" s="11"/>
      <c r="I173" s="11"/>
      <c r="J173" s="11"/>
      <c r="K173" s="11"/>
      <c r="L173" s="12"/>
      <c r="M173" s="12"/>
      <c r="N173" s="12"/>
      <c r="O173" s="12"/>
    </row>
    <row r="174" spans="1:15">
      <c r="A174" s="3"/>
      <c r="B174" s="3"/>
      <c r="H174" s="11"/>
      <c r="I174" s="11"/>
      <c r="J174" s="11"/>
      <c r="K174" s="11"/>
      <c r="L174" s="12"/>
      <c r="M174" s="12"/>
      <c r="N174" s="12"/>
      <c r="O174" s="12"/>
    </row>
    <row r="175" spans="1:15">
      <c r="A175" s="3"/>
      <c r="B175" s="3"/>
      <c r="H175" s="11"/>
      <c r="I175" s="11"/>
      <c r="J175" s="11"/>
      <c r="K175" s="11"/>
      <c r="L175" s="12"/>
      <c r="M175" s="12"/>
      <c r="N175" s="12"/>
      <c r="O175" s="12"/>
    </row>
    <row r="176" spans="1:15">
      <c r="A176" s="3"/>
      <c r="B176" s="3"/>
      <c r="H176" s="11"/>
      <c r="I176" s="11"/>
      <c r="J176" s="11"/>
      <c r="K176" s="11"/>
      <c r="L176" s="12"/>
      <c r="M176" s="12"/>
      <c r="N176" s="12"/>
      <c r="O176" s="12"/>
    </row>
    <row r="177" spans="1:15">
      <c r="A177" s="3"/>
      <c r="B177" s="3"/>
      <c r="H177" s="11"/>
      <c r="I177" s="11"/>
      <c r="J177" s="11"/>
      <c r="K177" s="11"/>
      <c r="L177" s="12"/>
      <c r="M177" s="12"/>
      <c r="N177" s="12"/>
      <c r="O177" s="12"/>
    </row>
    <row r="178" spans="1:15">
      <c r="A178" s="3"/>
      <c r="B178" s="3"/>
      <c r="H178" s="11"/>
      <c r="I178" s="11"/>
      <c r="J178" s="11"/>
      <c r="K178" s="11"/>
      <c r="L178" s="12"/>
      <c r="M178" s="12"/>
      <c r="N178" s="12"/>
      <c r="O178" s="12"/>
    </row>
    <row r="179" spans="1:15">
      <c r="A179" s="3"/>
      <c r="B179" s="3"/>
      <c r="H179" s="11"/>
      <c r="I179" s="11"/>
      <c r="J179" s="11"/>
      <c r="K179" s="11"/>
      <c r="L179" s="12"/>
      <c r="M179" s="12"/>
      <c r="N179" s="12"/>
      <c r="O179" s="12"/>
    </row>
    <row r="180" spans="1:15">
      <c r="A180" s="3"/>
      <c r="B180" s="3"/>
      <c r="H180" s="11"/>
      <c r="I180" s="11"/>
      <c r="J180" s="11"/>
      <c r="K180" s="11"/>
      <c r="L180" s="12"/>
      <c r="M180" s="12"/>
      <c r="N180" s="12"/>
      <c r="O180" s="12"/>
    </row>
    <row r="181" spans="1:15">
      <c r="A181" s="3"/>
      <c r="B181" s="3"/>
      <c r="H181" s="11"/>
      <c r="I181" s="11"/>
      <c r="J181" s="11"/>
      <c r="K181" s="11"/>
      <c r="L181" s="12"/>
      <c r="M181" s="12"/>
      <c r="N181" s="12"/>
      <c r="O181" s="12"/>
    </row>
    <row r="182" spans="1:15">
      <c r="A182" s="3"/>
      <c r="B182" s="3"/>
      <c r="H182" s="11"/>
      <c r="I182" s="11"/>
      <c r="J182" s="11"/>
      <c r="K182" s="11"/>
      <c r="L182" s="12"/>
      <c r="M182" s="12"/>
      <c r="N182" s="12"/>
      <c r="O182" s="12"/>
    </row>
    <row r="183" spans="1:15">
      <c r="A183" s="3"/>
      <c r="B183" s="3"/>
      <c r="H183" s="11"/>
      <c r="I183" s="11"/>
      <c r="J183" s="11"/>
      <c r="K183" s="11"/>
      <c r="L183" s="12"/>
      <c r="M183" s="12"/>
      <c r="N183" s="12"/>
      <c r="O183" s="12"/>
    </row>
    <row r="184" spans="1:15">
      <c r="A184" s="3"/>
      <c r="B184" s="3"/>
      <c r="H184" s="11"/>
      <c r="I184" s="11"/>
      <c r="J184" s="11"/>
      <c r="K184" s="11"/>
      <c r="L184" s="12"/>
      <c r="M184" s="12"/>
      <c r="N184" s="12"/>
      <c r="O184" s="12"/>
    </row>
    <row r="185" spans="1:15">
      <c r="A185" s="3"/>
      <c r="B185" s="3"/>
      <c r="H185" s="11"/>
      <c r="I185" s="11"/>
      <c r="J185" s="11"/>
      <c r="K185" s="11"/>
      <c r="L185" s="12"/>
      <c r="M185" s="12"/>
      <c r="N185" s="12"/>
      <c r="O185" s="12"/>
    </row>
    <row r="186" spans="1:15">
      <c r="A186" s="3"/>
      <c r="B186" s="3"/>
      <c r="H186" s="11"/>
      <c r="I186" s="11"/>
      <c r="J186" s="11"/>
      <c r="K186" s="11"/>
      <c r="L186" s="12"/>
      <c r="M186" s="12"/>
      <c r="N186" s="12"/>
      <c r="O186" s="12"/>
    </row>
    <row r="187" spans="1:15">
      <c r="A187" s="3"/>
      <c r="B187" s="3"/>
      <c r="H187" s="11"/>
      <c r="I187" s="11"/>
      <c r="J187" s="11"/>
      <c r="K187" s="11"/>
      <c r="L187" s="12"/>
      <c r="M187" s="12"/>
      <c r="N187" s="12"/>
      <c r="O187" s="12"/>
    </row>
    <row r="188" spans="1:15">
      <c r="A188" s="3"/>
      <c r="B188" s="3"/>
      <c r="H188" s="11"/>
      <c r="I188" s="11"/>
      <c r="J188" s="11"/>
      <c r="K188" s="11"/>
      <c r="L188" s="12"/>
      <c r="M188" s="12"/>
      <c r="N188" s="12"/>
      <c r="O188" s="12"/>
    </row>
    <row r="189" spans="1:15">
      <c r="A189" s="3"/>
      <c r="B189" s="3"/>
      <c r="H189" s="11"/>
      <c r="I189" s="11"/>
      <c r="J189" s="11"/>
      <c r="K189" s="11"/>
      <c r="L189" s="12"/>
      <c r="M189" s="12"/>
      <c r="N189" s="12"/>
      <c r="O189" s="12"/>
    </row>
    <row r="190" spans="1:15">
      <c r="A190" s="3"/>
      <c r="B190" s="3"/>
      <c r="H190" s="11"/>
      <c r="I190" s="11"/>
      <c r="J190" s="11"/>
      <c r="K190" s="11"/>
      <c r="L190" s="12"/>
      <c r="M190" s="12"/>
      <c r="N190" s="12"/>
      <c r="O190" s="12"/>
    </row>
    <row r="191" spans="1:15">
      <c r="A191" s="3"/>
      <c r="B191" s="3"/>
      <c r="H191" s="11"/>
      <c r="I191" s="11"/>
      <c r="J191" s="11"/>
      <c r="K191" s="11"/>
      <c r="L191" s="12"/>
      <c r="M191" s="12"/>
      <c r="N191" s="12"/>
      <c r="O191" s="12"/>
    </row>
    <row r="192" spans="1:15">
      <c r="A192" s="3"/>
      <c r="B192" s="3"/>
      <c r="H192" s="11"/>
      <c r="I192" s="11"/>
      <c r="J192" s="11"/>
      <c r="K192" s="11"/>
      <c r="L192" s="12"/>
      <c r="M192" s="12"/>
      <c r="N192" s="12"/>
      <c r="O192" s="12"/>
    </row>
    <row r="193" spans="1:15">
      <c r="A193" s="3"/>
      <c r="B193" s="3"/>
      <c r="H193" s="11"/>
      <c r="I193" s="11"/>
      <c r="J193" s="11"/>
      <c r="K193" s="11"/>
      <c r="L193" s="12"/>
      <c r="M193" s="12"/>
      <c r="N193" s="12"/>
      <c r="O193" s="12"/>
    </row>
    <row r="194" spans="1:15">
      <c r="A194" s="3"/>
      <c r="B194" s="3"/>
      <c r="H194" s="11"/>
      <c r="I194" s="11"/>
      <c r="J194" s="11"/>
      <c r="K194" s="11"/>
      <c r="L194" s="12"/>
      <c r="M194" s="12"/>
      <c r="N194" s="12"/>
      <c r="O194" s="12"/>
    </row>
    <row r="195" spans="1:15">
      <c r="A195" s="3"/>
      <c r="B195" s="3"/>
      <c r="H195" s="11"/>
      <c r="I195" s="11"/>
      <c r="J195" s="11"/>
      <c r="K195" s="11"/>
      <c r="L195" s="12"/>
      <c r="M195" s="12"/>
      <c r="N195" s="12"/>
      <c r="O195" s="12"/>
    </row>
    <row r="196" spans="1:15">
      <c r="A196" s="3"/>
      <c r="B196" s="3"/>
      <c r="H196" s="11"/>
      <c r="I196" s="11"/>
      <c r="J196" s="11"/>
      <c r="K196" s="11"/>
      <c r="L196" s="12"/>
      <c r="M196" s="12"/>
      <c r="N196" s="12"/>
      <c r="O196" s="12"/>
    </row>
    <row r="197" spans="1:15">
      <c r="A197" s="3"/>
      <c r="B197" s="3"/>
      <c r="H197" s="11"/>
      <c r="I197" s="11"/>
      <c r="J197" s="11"/>
      <c r="K197" s="11"/>
      <c r="L197" s="12"/>
      <c r="M197" s="12"/>
      <c r="N197" s="12"/>
      <c r="O197" s="12"/>
    </row>
    <row r="198" spans="1:15">
      <c r="A198" s="3"/>
      <c r="B198" s="3"/>
      <c r="H198" s="11"/>
      <c r="I198" s="11"/>
      <c r="J198" s="11"/>
      <c r="K198" s="11"/>
      <c r="L198" s="12"/>
      <c r="M198" s="12"/>
      <c r="N198" s="12"/>
      <c r="O198" s="12"/>
    </row>
    <row r="199" spans="1:15">
      <c r="A199" s="3"/>
      <c r="B199" s="3"/>
      <c r="H199" s="11"/>
      <c r="I199" s="11"/>
      <c r="J199" s="11"/>
      <c r="K199" s="11"/>
      <c r="L199" s="12"/>
      <c r="M199" s="12"/>
      <c r="N199" s="12"/>
      <c r="O199" s="12"/>
    </row>
    <row r="200" spans="1:15">
      <c r="A200" s="3"/>
      <c r="B200" s="3"/>
      <c r="H200" s="11"/>
      <c r="I200" s="11"/>
      <c r="J200" s="11"/>
      <c r="K200" s="11"/>
      <c r="L200" s="12"/>
      <c r="M200" s="12"/>
      <c r="N200" s="12"/>
      <c r="O200" s="12"/>
    </row>
    <row r="201" spans="1:15">
      <c r="A201" s="3"/>
      <c r="B201" s="3"/>
      <c r="H201" s="11"/>
      <c r="I201" s="11"/>
      <c r="J201" s="11"/>
      <c r="K201" s="11"/>
      <c r="L201" s="12"/>
      <c r="M201" s="12"/>
      <c r="N201" s="12"/>
      <c r="O201" s="12"/>
    </row>
    <row r="202" spans="1:15">
      <c r="A202" s="3"/>
      <c r="B202" s="3"/>
      <c r="H202" s="11"/>
      <c r="I202" s="11"/>
      <c r="J202" s="11"/>
      <c r="K202" s="11"/>
      <c r="L202" s="12"/>
      <c r="M202" s="12"/>
      <c r="N202" s="12"/>
      <c r="O202" s="12"/>
    </row>
    <row r="203" spans="1:15">
      <c r="A203" s="3"/>
      <c r="B203" s="3"/>
      <c r="H203" s="11"/>
      <c r="I203" s="11"/>
      <c r="J203" s="11"/>
      <c r="K203" s="11"/>
      <c r="L203" s="12"/>
      <c r="M203" s="12"/>
      <c r="N203" s="12"/>
      <c r="O203" s="12"/>
    </row>
    <row r="204" spans="1:15">
      <c r="A204" s="3"/>
      <c r="B204" s="3"/>
      <c r="H204" s="11"/>
      <c r="I204" s="11"/>
      <c r="J204" s="11"/>
      <c r="K204" s="11"/>
      <c r="L204" s="12"/>
      <c r="M204" s="12"/>
      <c r="N204" s="12"/>
      <c r="O204" s="12"/>
    </row>
    <row r="205" spans="1:15">
      <c r="A205" s="3"/>
      <c r="B205" s="3"/>
      <c r="H205" s="11"/>
      <c r="I205" s="11"/>
      <c r="J205" s="11"/>
      <c r="K205" s="11"/>
      <c r="L205" s="12"/>
      <c r="M205" s="12"/>
      <c r="N205" s="12"/>
      <c r="O205" s="12"/>
    </row>
    <row r="206" spans="1:15">
      <c r="A206" s="3"/>
      <c r="B206" s="3"/>
      <c r="H206" s="11"/>
      <c r="I206" s="11"/>
      <c r="J206" s="11"/>
      <c r="K206" s="11"/>
      <c r="L206" s="12"/>
      <c r="M206" s="12"/>
      <c r="N206" s="12"/>
      <c r="O206" s="12"/>
    </row>
    <row r="207" spans="1:15">
      <c r="A207" s="3"/>
      <c r="B207" s="3"/>
      <c r="H207" s="11"/>
      <c r="I207" s="11"/>
      <c r="J207" s="11"/>
      <c r="K207" s="11"/>
      <c r="L207" s="12"/>
      <c r="M207" s="12"/>
      <c r="N207" s="12"/>
      <c r="O207" s="12"/>
    </row>
    <row r="208" spans="1:15">
      <c r="A208" s="3"/>
      <c r="B208" s="3"/>
      <c r="H208" s="11"/>
      <c r="I208" s="11"/>
      <c r="J208" s="11"/>
      <c r="K208" s="11"/>
      <c r="L208" s="12"/>
      <c r="M208" s="12"/>
      <c r="N208" s="12"/>
      <c r="O208" s="12"/>
    </row>
    <row r="209" spans="1:15">
      <c r="A209" s="3"/>
      <c r="B209" s="3"/>
      <c r="H209" s="11"/>
      <c r="I209" s="11"/>
      <c r="J209" s="11"/>
      <c r="K209" s="11"/>
      <c r="L209" s="12"/>
      <c r="M209" s="12"/>
      <c r="N209" s="12"/>
      <c r="O209" s="12"/>
    </row>
    <row r="210" spans="1:15">
      <c r="A210" s="3"/>
      <c r="B210" s="3"/>
      <c r="H210" s="11"/>
      <c r="I210" s="11"/>
      <c r="J210" s="11"/>
      <c r="K210" s="11"/>
      <c r="L210" s="12"/>
      <c r="M210" s="12"/>
      <c r="N210" s="12"/>
      <c r="O210" s="12"/>
    </row>
    <row r="211" spans="1:15">
      <c r="A211" s="3"/>
      <c r="B211" s="3"/>
      <c r="H211" s="11"/>
      <c r="I211" s="11"/>
      <c r="J211" s="11"/>
      <c r="K211" s="11"/>
      <c r="L211" s="12"/>
      <c r="M211" s="12"/>
      <c r="N211" s="12"/>
      <c r="O211" s="12"/>
    </row>
    <row r="212" spans="1:15">
      <c r="A212" s="3"/>
      <c r="B212" s="3"/>
      <c r="H212" s="11"/>
      <c r="I212" s="11"/>
      <c r="J212" s="11"/>
      <c r="K212" s="11"/>
      <c r="L212" s="12"/>
      <c r="M212" s="12"/>
      <c r="N212" s="12"/>
      <c r="O212" s="12"/>
    </row>
    <row r="213" spans="1:15">
      <c r="A213" s="3"/>
      <c r="B213" s="3"/>
      <c r="H213" s="11"/>
      <c r="I213" s="11"/>
      <c r="J213" s="11"/>
      <c r="K213" s="11"/>
      <c r="L213" s="12"/>
      <c r="M213" s="12"/>
      <c r="N213" s="12"/>
      <c r="O213" s="12"/>
    </row>
    <row r="214" spans="1:15">
      <c r="A214" s="3"/>
      <c r="B214" s="3"/>
      <c r="H214" s="11"/>
      <c r="I214" s="11"/>
      <c r="J214" s="11"/>
      <c r="K214" s="11"/>
      <c r="L214" s="12"/>
      <c r="M214" s="12"/>
      <c r="N214" s="12"/>
      <c r="O214" s="12"/>
    </row>
    <row r="215" spans="1:15">
      <c r="A215" s="3"/>
      <c r="B215" s="3"/>
      <c r="H215" s="11"/>
      <c r="I215" s="11"/>
      <c r="J215" s="11"/>
      <c r="K215" s="11"/>
      <c r="L215" s="12"/>
      <c r="M215" s="12"/>
      <c r="N215" s="12"/>
      <c r="O215" s="12"/>
    </row>
    <row r="216" spans="1:15">
      <c r="A216" s="3"/>
      <c r="B216" s="3"/>
      <c r="H216" s="11"/>
      <c r="I216" s="11"/>
      <c r="J216" s="11"/>
      <c r="K216" s="11"/>
      <c r="L216" s="12"/>
      <c r="M216" s="12"/>
      <c r="N216" s="12"/>
      <c r="O216" s="12"/>
    </row>
    <row r="217" spans="1:15">
      <c r="A217" s="3"/>
      <c r="B217" s="3"/>
      <c r="H217" s="11"/>
      <c r="I217" s="11"/>
      <c r="J217" s="11"/>
      <c r="K217" s="11"/>
      <c r="L217" s="12"/>
      <c r="M217" s="12"/>
      <c r="N217" s="12"/>
      <c r="O217" s="12"/>
    </row>
    <row r="218" spans="1:15">
      <c r="A218" s="3"/>
      <c r="B218" s="3"/>
      <c r="H218" s="11"/>
      <c r="I218" s="11"/>
      <c r="J218" s="11"/>
      <c r="K218" s="11"/>
      <c r="L218" s="12"/>
      <c r="M218" s="12"/>
      <c r="N218" s="12"/>
      <c r="O218" s="12"/>
    </row>
    <row r="219" spans="1:15">
      <c r="A219" s="3"/>
      <c r="B219" s="3"/>
      <c r="H219" s="11"/>
      <c r="I219" s="11"/>
      <c r="J219" s="11"/>
      <c r="K219" s="11"/>
      <c r="L219" s="12"/>
      <c r="M219" s="12"/>
      <c r="N219" s="12"/>
      <c r="O219" s="12"/>
    </row>
    <row r="220" spans="1:15">
      <c r="A220" s="3"/>
      <c r="B220" s="3"/>
      <c r="H220" s="11"/>
      <c r="I220" s="11"/>
      <c r="J220" s="11"/>
      <c r="K220" s="11"/>
      <c r="L220" s="12"/>
      <c r="M220" s="12"/>
      <c r="N220" s="12"/>
      <c r="O220" s="12"/>
    </row>
    <row r="221" spans="1:15">
      <c r="A221" s="3"/>
      <c r="B221" s="3"/>
      <c r="H221" s="11"/>
      <c r="I221" s="11"/>
      <c r="J221" s="11"/>
      <c r="K221" s="11"/>
      <c r="L221" s="12"/>
      <c r="M221" s="12"/>
      <c r="N221" s="12"/>
      <c r="O221" s="12"/>
    </row>
    <row r="222" spans="1:15">
      <c r="A222" s="3"/>
      <c r="B222" s="3"/>
      <c r="H222" s="11"/>
      <c r="I222" s="11"/>
      <c r="J222" s="11"/>
      <c r="K222" s="11"/>
      <c r="L222" s="12"/>
      <c r="M222" s="12"/>
      <c r="N222" s="12"/>
      <c r="O222" s="12"/>
    </row>
    <row r="223" spans="1:15">
      <c r="A223" s="3"/>
      <c r="B223" s="3"/>
      <c r="H223" s="11"/>
      <c r="I223" s="11"/>
      <c r="J223" s="11"/>
      <c r="K223" s="11"/>
      <c r="L223" s="12"/>
      <c r="M223" s="12"/>
      <c r="N223" s="12"/>
      <c r="O223" s="12"/>
    </row>
    <row r="224" spans="1:15">
      <c r="A224" s="3"/>
      <c r="B224" s="3"/>
      <c r="H224" s="11"/>
      <c r="I224" s="11"/>
      <c r="J224" s="11"/>
      <c r="K224" s="11"/>
      <c r="L224" s="12"/>
      <c r="M224" s="12"/>
      <c r="N224" s="12"/>
      <c r="O224" s="12"/>
    </row>
    <row r="225" spans="1:15">
      <c r="A225" s="3"/>
      <c r="B225" s="3"/>
      <c r="H225" s="11"/>
      <c r="I225" s="11"/>
      <c r="J225" s="11"/>
      <c r="K225" s="11"/>
      <c r="L225" s="12"/>
      <c r="M225" s="12"/>
      <c r="N225" s="12"/>
      <c r="O225" s="12"/>
    </row>
    <row r="226" spans="1:15">
      <c r="A226" s="3"/>
      <c r="B226" s="3"/>
      <c r="H226" s="11"/>
      <c r="I226" s="11"/>
      <c r="J226" s="11"/>
      <c r="K226" s="11"/>
      <c r="L226" s="12"/>
      <c r="M226" s="12"/>
      <c r="N226" s="12"/>
      <c r="O226" s="12"/>
    </row>
    <row r="227" spans="1:15">
      <c r="A227" s="3"/>
      <c r="B227" s="3"/>
      <c r="H227" s="11"/>
      <c r="I227" s="11"/>
      <c r="J227" s="11"/>
      <c r="K227" s="11"/>
      <c r="L227" s="12"/>
      <c r="M227" s="12"/>
      <c r="N227" s="12"/>
      <c r="O227" s="12"/>
    </row>
    <row r="228" spans="1:15">
      <c r="A228" s="3"/>
      <c r="B228" s="3"/>
      <c r="H228" s="11"/>
      <c r="I228" s="11"/>
      <c r="J228" s="11"/>
      <c r="K228" s="11"/>
      <c r="L228" s="12"/>
      <c r="M228" s="12"/>
      <c r="N228" s="12"/>
      <c r="O228" s="12"/>
    </row>
    <row r="229" spans="1:15">
      <c r="A229" s="3"/>
      <c r="B229" s="3"/>
      <c r="H229" s="11"/>
      <c r="I229" s="11"/>
      <c r="J229" s="11"/>
      <c r="K229" s="11"/>
      <c r="L229" s="12"/>
      <c r="M229" s="12"/>
      <c r="N229" s="12"/>
      <c r="O229" s="12"/>
    </row>
    <row r="230" spans="1:15">
      <c r="A230" s="3"/>
      <c r="B230" s="3"/>
      <c r="H230" s="11"/>
      <c r="I230" s="11"/>
      <c r="J230" s="11"/>
      <c r="K230" s="11"/>
      <c r="L230" s="12"/>
      <c r="M230" s="12"/>
      <c r="N230" s="12"/>
      <c r="O230" s="12"/>
    </row>
    <row r="231" spans="1:15">
      <c r="A231" s="3"/>
      <c r="B231" s="3"/>
      <c r="H231" s="11"/>
      <c r="I231" s="11"/>
      <c r="J231" s="11"/>
      <c r="K231" s="11"/>
      <c r="L231" s="12"/>
      <c r="M231" s="12"/>
      <c r="N231" s="12"/>
      <c r="O231" s="12"/>
    </row>
    <row r="232" spans="1:15">
      <c r="A232" s="3"/>
      <c r="B232" s="3"/>
      <c r="H232" s="11"/>
      <c r="I232" s="11"/>
      <c r="J232" s="11"/>
      <c r="K232" s="11"/>
      <c r="L232" s="12"/>
      <c r="M232" s="12"/>
      <c r="N232" s="12"/>
      <c r="O232" s="12"/>
    </row>
    <row r="233" spans="1:15">
      <c r="A233" s="3"/>
      <c r="B233" s="3"/>
      <c r="H233" s="11"/>
      <c r="I233" s="11"/>
      <c r="J233" s="11"/>
      <c r="K233" s="11"/>
      <c r="L233" s="12"/>
      <c r="M233" s="12"/>
      <c r="N233" s="12"/>
      <c r="O233" s="12"/>
    </row>
    <row r="234" spans="1:15">
      <c r="A234" s="3"/>
      <c r="B234" s="3"/>
      <c r="H234" s="11"/>
      <c r="I234" s="11"/>
      <c r="J234" s="11"/>
      <c r="K234" s="11"/>
      <c r="L234" s="12"/>
      <c r="M234" s="12"/>
      <c r="N234" s="12"/>
      <c r="O234" s="12"/>
    </row>
    <row r="235" spans="1:15">
      <c r="A235" s="3"/>
      <c r="B235" s="3"/>
      <c r="H235" s="11"/>
      <c r="I235" s="11"/>
      <c r="J235" s="11"/>
      <c r="K235" s="11"/>
      <c r="L235" s="12"/>
      <c r="M235" s="12"/>
      <c r="N235" s="12"/>
      <c r="O235" s="12"/>
    </row>
    <row r="236" spans="1:15">
      <c r="A236" s="3"/>
      <c r="B236" s="3"/>
      <c r="H236" s="11"/>
      <c r="I236" s="11"/>
      <c r="J236" s="11"/>
      <c r="K236" s="11"/>
      <c r="L236" s="12"/>
      <c r="M236" s="12"/>
      <c r="N236" s="12"/>
      <c r="O236" s="12"/>
    </row>
    <row r="237" spans="1:15">
      <c r="A237" s="3"/>
      <c r="B237" s="3"/>
      <c r="H237" s="11"/>
      <c r="I237" s="11"/>
      <c r="J237" s="11"/>
      <c r="K237" s="11"/>
      <c r="L237" s="12"/>
      <c r="M237" s="12"/>
      <c r="N237" s="12"/>
      <c r="O237" s="12"/>
    </row>
    <row r="238" spans="1:15">
      <c r="A238" s="3"/>
      <c r="B238" s="3"/>
      <c r="H238" s="11"/>
      <c r="I238" s="11"/>
      <c r="J238" s="11"/>
      <c r="K238" s="11"/>
      <c r="L238" s="12"/>
      <c r="M238" s="12"/>
      <c r="N238" s="12"/>
      <c r="O238" s="12"/>
    </row>
    <row r="239" spans="1:15">
      <c r="A239" s="3"/>
      <c r="B239" s="3"/>
      <c r="H239" s="11"/>
      <c r="I239" s="11"/>
      <c r="J239" s="11"/>
      <c r="K239" s="11"/>
      <c r="L239" s="12"/>
      <c r="M239" s="12"/>
      <c r="N239" s="12"/>
      <c r="O239" s="12"/>
    </row>
    <row r="240" spans="1:15">
      <c r="A240" s="3"/>
      <c r="B240" s="3"/>
      <c r="H240" s="11"/>
      <c r="I240" s="11"/>
      <c r="J240" s="11"/>
      <c r="K240" s="11"/>
      <c r="L240" s="12"/>
      <c r="M240" s="12"/>
      <c r="N240" s="12"/>
      <c r="O240" s="12"/>
    </row>
    <row r="241" spans="1:15">
      <c r="A241" s="3"/>
      <c r="B241" s="3"/>
      <c r="H241" s="11"/>
      <c r="I241" s="11"/>
      <c r="J241" s="11"/>
      <c r="K241" s="11"/>
      <c r="L241" s="12"/>
      <c r="M241" s="12"/>
      <c r="N241" s="12"/>
      <c r="O241" s="12"/>
    </row>
    <row r="242" spans="1:15">
      <c r="A242" s="3"/>
      <c r="B242" s="3"/>
      <c r="H242" s="11"/>
      <c r="I242" s="11"/>
      <c r="J242" s="11"/>
      <c r="K242" s="11"/>
      <c r="L242" s="12"/>
      <c r="M242" s="12"/>
      <c r="N242" s="12"/>
      <c r="O242" s="12"/>
    </row>
    <row r="243" spans="1:15">
      <c r="A243" s="3"/>
      <c r="B243" s="3"/>
      <c r="H243" s="11"/>
      <c r="I243" s="11"/>
      <c r="J243" s="11"/>
      <c r="K243" s="11"/>
      <c r="L243" s="12"/>
      <c r="M243" s="12"/>
      <c r="N243" s="12"/>
      <c r="O243" s="12"/>
    </row>
    <row r="244" spans="1:15">
      <c r="A244" s="3"/>
      <c r="B244" s="3"/>
      <c r="H244" s="11"/>
      <c r="I244" s="11"/>
      <c r="J244" s="11"/>
      <c r="K244" s="11"/>
      <c r="L244" s="12"/>
      <c r="M244" s="12"/>
      <c r="N244" s="12"/>
      <c r="O244" s="12"/>
    </row>
    <row r="245" spans="1:15">
      <c r="A245" s="3"/>
      <c r="B245" s="3"/>
      <c r="H245" s="11"/>
      <c r="I245" s="11"/>
      <c r="J245" s="11"/>
      <c r="K245" s="11"/>
      <c r="L245" s="12"/>
      <c r="M245" s="12"/>
      <c r="N245" s="12"/>
      <c r="O245" s="12"/>
    </row>
    <row r="246" spans="1:15">
      <c r="A246" s="3"/>
      <c r="B246" s="3"/>
      <c r="H246" s="11"/>
      <c r="I246" s="11"/>
      <c r="J246" s="11"/>
      <c r="K246" s="11"/>
      <c r="L246" s="12"/>
      <c r="M246" s="12"/>
      <c r="N246" s="12"/>
      <c r="O246" s="12"/>
    </row>
    <row r="247" spans="1:15">
      <c r="A247" s="3"/>
      <c r="B247" s="3"/>
      <c r="H247" s="11"/>
      <c r="I247" s="11"/>
      <c r="J247" s="11"/>
      <c r="K247" s="11"/>
      <c r="L247" s="12"/>
      <c r="M247" s="12"/>
      <c r="N247" s="12"/>
      <c r="O247" s="12"/>
    </row>
    <row r="248" spans="1:15">
      <c r="A248" s="3"/>
      <c r="B248" s="3"/>
      <c r="H248" s="11"/>
      <c r="I248" s="11"/>
      <c r="J248" s="11"/>
      <c r="K248" s="11"/>
      <c r="L248" s="12"/>
      <c r="M248" s="12"/>
      <c r="N248" s="12"/>
      <c r="O248" s="12"/>
    </row>
    <row r="249" spans="1:15">
      <c r="A249" s="3"/>
      <c r="B249" s="3"/>
      <c r="H249" s="11"/>
      <c r="I249" s="11"/>
      <c r="J249" s="11"/>
      <c r="K249" s="11"/>
      <c r="L249" s="12"/>
      <c r="M249" s="12"/>
      <c r="N249" s="12"/>
      <c r="O249" s="12"/>
    </row>
    <row r="250" spans="1:15">
      <c r="A250" s="3"/>
      <c r="B250" s="3"/>
      <c r="H250" s="11"/>
      <c r="I250" s="11"/>
      <c r="J250" s="11"/>
      <c r="K250" s="11"/>
      <c r="L250" s="12"/>
      <c r="M250" s="12"/>
      <c r="N250" s="12"/>
      <c r="O250" s="12"/>
    </row>
    <row r="251" spans="1:15">
      <c r="A251" s="3"/>
      <c r="B251" s="3"/>
      <c r="H251" s="11"/>
      <c r="I251" s="11"/>
      <c r="J251" s="11"/>
      <c r="K251" s="11"/>
      <c r="L251" s="12"/>
      <c r="M251" s="12"/>
      <c r="N251" s="12"/>
      <c r="O251" s="12"/>
    </row>
    <row r="252" spans="1:15">
      <c r="A252" s="3"/>
      <c r="B252" s="3"/>
      <c r="H252" s="11"/>
      <c r="I252" s="11"/>
      <c r="J252" s="11"/>
      <c r="K252" s="11"/>
      <c r="L252" s="12"/>
      <c r="M252" s="12"/>
      <c r="N252" s="12"/>
      <c r="O252" s="12"/>
    </row>
    <row r="253" spans="1:15">
      <c r="A253" s="3"/>
      <c r="B253" s="3"/>
      <c r="H253" s="11"/>
      <c r="I253" s="11"/>
      <c r="J253" s="11"/>
      <c r="K253" s="11"/>
      <c r="L253" s="12"/>
      <c r="M253" s="12"/>
      <c r="N253" s="12"/>
      <c r="O253" s="12"/>
    </row>
    <row r="254" spans="1:15">
      <c r="A254" s="3"/>
      <c r="B254" s="3"/>
      <c r="H254" s="11"/>
      <c r="I254" s="11"/>
      <c r="J254" s="11"/>
      <c r="K254" s="11"/>
      <c r="L254" s="12"/>
      <c r="M254" s="12"/>
      <c r="N254" s="12"/>
      <c r="O254" s="12"/>
    </row>
    <row r="255" spans="1:15">
      <c r="A255" s="3"/>
      <c r="B255" s="3"/>
      <c r="H255" s="11"/>
      <c r="I255" s="11"/>
      <c r="J255" s="11"/>
      <c r="K255" s="11"/>
      <c r="L255" s="12"/>
      <c r="M255" s="12"/>
      <c r="N255" s="12"/>
      <c r="O255" s="12"/>
    </row>
    <row r="256" spans="1:15">
      <c r="A256" s="3"/>
      <c r="B256" s="3"/>
      <c r="H256" s="11"/>
      <c r="I256" s="11"/>
      <c r="J256" s="11"/>
      <c r="K256" s="11"/>
      <c r="L256" s="12"/>
      <c r="M256" s="12"/>
      <c r="N256" s="12"/>
      <c r="O256" s="12"/>
    </row>
    <row r="257" spans="1:15">
      <c r="A257" s="3"/>
      <c r="B257" s="3"/>
      <c r="H257" s="11"/>
      <c r="I257" s="11"/>
      <c r="J257" s="11"/>
      <c r="K257" s="11"/>
      <c r="L257" s="12"/>
      <c r="M257" s="12"/>
      <c r="N257" s="12"/>
      <c r="O257" s="12"/>
    </row>
    <row r="258" spans="1:15">
      <c r="A258" s="3"/>
      <c r="B258" s="3"/>
      <c r="H258" s="11"/>
      <c r="I258" s="11"/>
      <c r="J258" s="11"/>
      <c r="K258" s="11"/>
      <c r="L258" s="12"/>
      <c r="M258" s="12"/>
      <c r="N258" s="12"/>
      <c r="O258" s="12"/>
    </row>
    <row r="259" spans="1:15">
      <c r="A259" s="3"/>
      <c r="B259" s="3"/>
      <c r="H259" s="11"/>
      <c r="I259" s="11"/>
      <c r="J259" s="11"/>
      <c r="K259" s="11"/>
      <c r="L259" s="12"/>
      <c r="M259" s="12"/>
      <c r="N259" s="12"/>
      <c r="O259" s="12"/>
    </row>
    <row r="260" spans="1:15">
      <c r="A260" s="3"/>
      <c r="B260" s="3"/>
      <c r="H260" s="11"/>
      <c r="I260" s="11"/>
      <c r="J260" s="11"/>
      <c r="K260" s="11"/>
      <c r="L260" s="12"/>
      <c r="M260" s="12"/>
      <c r="N260" s="12"/>
      <c r="O260" s="12"/>
    </row>
    <row r="261" spans="1:15">
      <c r="A261" s="3"/>
      <c r="B261" s="3"/>
      <c r="H261" s="11"/>
      <c r="I261" s="11"/>
      <c r="J261" s="11"/>
      <c r="K261" s="11"/>
      <c r="L261" s="12"/>
      <c r="M261" s="12"/>
      <c r="N261" s="12"/>
      <c r="O261" s="12"/>
    </row>
    <row r="262" spans="1:15">
      <c r="A262" s="3"/>
      <c r="B262" s="3"/>
      <c r="H262" s="11"/>
      <c r="I262" s="11"/>
      <c r="J262" s="11"/>
      <c r="K262" s="11"/>
      <c r="L262" s="12"/>
      <c r="M262" s="12"/>
      <c r="N262" s="12"/>
      <c r="O262" s="12"/>
    </row>
    <row r="263" spans="1:15">
      <c r="A263" s="3"/>
      <c r="B263" s="3"/>
      <c r="H263" s="11"/>
      <c r="I263" s="11"/>
      <c r="J263" s="11"/>
      <c r="K263" s="11"/>
      <c r="L263" s="12"/>
      <c r="M263" s="12"/>
      <c r="N263" s="12"/>
      <c r="O263" s="12"/>
    </row>
    <row r="264" spans="1:15">
      <c r="A264" s="3"/>
      <c r="B264" s="3"/>
      <c r="H264" s="11"/>
      <c r="I264" s="11"/>
      <c r="J264" s="11"/>
      <c r="K264" s="11"/>
      <c r="L264" s="12"/>
      <c r="M264" s="12"/>
      <c r="N264" s="12"/>
      <c r="O264" s="12"/>
    </row>
    <row r="265" spans="1:15">
      <c r="A265" s="3"/>
      <c r="B265" s="3"/>
      <c r="H265" s="11"/>
      <c r="I265" s="11"/>
      <c r="J265" s="11"/>
      <c r="K265" s="11"/>
      <c r="L265" s="12"/>
      <c r="M265" s="12"/>
      <c r="N265" s="12"/>
      <c r="O265" s="12"/>
    </row>
    <row r="266" spans="1:15">
      <c r="A266" s="3"/>
      <c r="B266" s="3"/>
      <c r="H266" s="11"/>
      <c r="I266" s="11"/>
      <c r="J266" s="11"/>
      <c r="K266" s="11"/>
      <c r="L266" s="12"/>
      <c r="M266" s="12"/>
      <c r="N266" s="12"/>
      <c r="O266" s="12"/>
    </row>
    <row r="267" spans="1:15">
      <c r="A267" s="3"/>
      <c r="B267" s="3"/>
      <c r="H267" s="11"/>
      <c r="I267" s="11"/>
      <c r="J267" s="11"/>
      <c r="K267" s="11"/>
      <c r="L267" s="12"/>
      <c r="M267" s="12"/>
      <c r="N267" s="12"/>
      <c r="O267" s="12"/>
    </row>
    <row r="268" spans="1:15">
      <c r="A268" s="3"/>
      <c r="B268" s="3"/>
      <c r="H268" s="11"/>
      <c r="I268" s="11"/>
      <c r="J268" s="11"/>
      <c r="K268" s="11"/>
      <c r="L268" s="12"/>
      <c r="M268" s="12"/>
      <c r="N268" s="12"/>
      <c r="O268" s="12"/>
    </row>
    <row r="269" spans="1:15">
      <c r="A269" s="3"/>
      <c r="B269" s="3"/>
      <c r="H269" s="11"/>
      <c r="I269" s="11"/>
      <c r="J269" s="11"/>
      <c r="K269" s="11"/>
      <c r="L269" s="12"/>
      <c r="M269" s="12"/>
      <c r="N269" s="12"/>
      <c r="O269" s="12"/>
    </row>
    <row r="270" spans="1:15">
      <c r="A270" s="3"/>
      <c r="B270" s="3"/>
      <c r="H270" s="11"/>
      <c r="I270" s="11"/>
      <c r="J270" s="11"/>
      <c r="K270" s="11"/>
      <c r="L270" s="12"/>
      <c r="M270" s="12"/>
      <c r="N270" s="12"/>
      <c r="O270" s="12"/>
    </row>
    <row r="271" spans="1:15">
      <c r="A271" s="3"/>
      <c r="B271" s="3"/>
      <c r="H271" s="11"/>
      <c r="I271" s="11"/>
      <c r="J271" s="11"/>
      <c r="K271" s="11"/>
      <c r="L271" s="12"/>
      <c r="M271" s="12"/>
      <c r="N271" s="12"/>
      <c r="O271" s="12"/>
    </row>
    <row r="272" spans="1:15">
      <c r="A272" s="3"/>
      <c r="B272" s="3"/>
      <c r="H272" s="11"/>
      <c r="I272" s="11"/>
      <c r="J272" s="11"/>
      <c r="K272" s="11"/>
      <c r="L272" s="12"/>
      <c r="M272" s="12"/>
      <c r="N272" s="12"/>
      <c r="O272" s="12"/>
    </row>
    <row r="273" spans="1:15">
      <c r="A273" s="3"/>
      <c r="B273" s="3"/>
      <c r="H273" s="11"/>
      <c r="I273" s="11"/>
      <c r="J273" s="11"/>
      <c r="K273" s="11"/>
      <c r="L273" s="12"/>
      <c r="M273" s="12"/>
      <c r="N273" s="12"/>
      <c r="O273" s="12"/>
    </row>
    <row r="274" spans="1:15">
      <c r="A274" s="3"/>
      <c r="B274" s="3"/>
      <c r="H274" s="11"/>
      <c r="I274" s="11"/>
      <c r="J274" s="11"/>
      <c r="K274" s="11"/>
      <c r="L274" s="12"/>
      <c r="M274" s="12"/>
      <c r="N274" s="12"/>
      <c r="O274" s="12"/>
    </row>
    <row r="275" spans="1:15">
      <c r="A275" s="3"/>
      <c r="B275" s="3"/>
      <c r="H275" s="11"/>
      <c r="I275" s="11"/>
      <c r="J275" s="11"/>
      <c r="K275" s="11"/>
      <c r="L275" s="12"/>
      <c r="M275" s="12"/>
      <c r="N275" s="12"/>
      <c r="O275" s="12"/>
    </row>
    <row r="276" spans="1:15">
      <c r="A276" s="3"/>
      <c r="B276" s="3"/>
      <c r="H276" s="11"/>
      <c r="I276" s="11"/>
      <c r="J276" s="11"/>
      <c r="K276" s="11"/>
      <c r="L276" s="12"/>
      <c r="M276" s="12"/>
      <c r="N276" s="12"/>
      <c r="O276" s="12"/>
    </row>
    <row r="277" spans="1:15">
      <c r="A277" s="3"/>
      <c r="B277" s="3"/>
      <c r="H277" s="11"/>
      <c r="I277" s="11"/>
      <c r="J277" s="11"/>
      <c r="K277" s="11"/>
      <c r="L277" s="12"/>
      <c r="M277" s="12"/>
      <c r="N277" s="12"/>
      <c r="O277" s="12"/>
    </row>
    <row r="278" spans="1:15">
      <c r="A278" s="3"/>
      <c r="B278" s="3"/>
      <c r="H278" s="11"/>
      <c r="I278" s="11"/>
      <c r="J278" s="11"/>
      <c r="K278" s="11"/>
      <c r="L278" s="12"/>
      <c r="M278" s="12"/>
      <c r="N278" s="12"/>
      <c r="O278" s="12"/>
    </row>
    <row r="279" spans="1:15">
      <c r="A279" s="3"/>
      <c r="B279" s="3"/>
      <c r="H279" s="11"/>
      <c r="I279" s="11"/>
      <c r="J279" s="11"/>
      <c r="K279" s="11"/>
      <c r="L279" s="12"/>
      <c r="M279" s="12"/>
      <c r="N279" s="12"/>
      <c r="O279" s="12"/>
    </row>
    <row r="280" spans="1:15">
      <c r="A280" s="3"/>
      <c r="B280" s="3"/>
      <c r="H280" s="11"/>
      <c r="I280" s="11"/>
      <c r="J280" s="11"/>
      <c r="K280" s="11"/>
      <c r="L280" s="12"/>
      <c r="M280" s="12"/>
      <c r="N280" s="12"/>
      <c r="O280" s="12"/>
    </row>
    <row r="281" spans="1:15">
      <c r="A281" s="3"/>
      <c r="B281" s="3"/>
      <c r="H281" s="11"/>
      <c r="I281" s="11"/>
      <c r="J281" s="11"/>
      <c r="K281" s="11"/>
      <c r="L281" s="12"/>
      <c r="M281" s="12"/>
      <c r="N281" s="12"/>
      <c r="O281" s="12"/>
    </row>
    <row r="282" spans="1:15">
      <c r="A282" s="3"/>
      <c r="B282" s="3"/>
      <c r="H282" s="11"/>
      <c r="I282" s="11"/>
      <c r="J282" s="11"/>
      <c r="K282" s="11"/>
      <c r="L282" s="12"/>
      <c r="M282" s="12"/>
      <c r="N282" s="12"/>
      <c r="O282" s="12"/>
    </row>
    <row r="283" spans="1:15">
      <c r="A283" s="3"/>
      <c r="B283" s="3"/>
      <c r="H283" s="11"/>
      <c r="I283" s="11"/>
      <c r="J283" s="11"/>
      <c r="K283" s="11"/>
      <c r="L283" s="12"/>
      <c r="M283" s="12"/>
      <c r="N283" s="12"/>
      <c r="O283" s="12"/>
    </row>
    <row r="284" spans="1:15">
      <c r="A284" s="3"/>
      <c r="B284" s="3"/>
      <c r="H284" s="11"/>
      <c r="I284" s="11"/>
      <c r="J284" s="11"/>
      <c r="K284" s="11"/>
      <c r="L284" s="12"/>
      <c r="M284" s="12"/>
      <c r="N284" s="12"/>
      <c r="O284" s="12"/>
    </row>
    <row r="285" spans="1:15">
      <c r="A285" s="3"/>
      <c r="B285" s="3"/>
      <c r="H285" s="11"/>
      <c r="I285" s="11"/>
      <c r="J285" s="11"/>
      <c r="K285" s="11"/>
      <c r="L285" s="12"/>
      <c r="M285" s="12"/>
      <c r="N285" s="12"/>
      <c r="O285" s="12"/>
    </row>
    <row r="286" spans="1:15">
      <c r="A286" s="3"/>
      <c r="B286" s="3"/>
      <c r="H286" s="11"/>
      <c r="I286" s="11"/>
      <c r="J286" s="11"/>
      <c r="K286" s="11"/>
      <c r="L286" s="12"/>
      <c r="M286" s="12"/>
      <c r="N286" s="12"/>
      <c r="O286" s="12"/>
    </row>
    <row r="287" spans="1:15">
      <c r="A287" s="3"/>
      <c r="B287" s="3"/>
      <c r="H287" s="11"/>
      <c r="I287" s="11"/>
      <c r="J287" s="11"/>
      <c r="K287" s="11"/>
      <c r="L287" s="12"/>
      <c r="M287" s="12"/>
      <c r="N287" s="12"/>
      <c r="O287" s="12"/>
    </row>
    <row r="288" spans="1:15">
      <c r="A288" s="3"/>
      <c r="B288" s="3"/>
      <c r="H288" s="11"/>
      <c r="I288" s="11"/>
      <c r="J288" s="11"/>
      <c r="K288" s="11"/>
      <c r="L288" s="12"/>
      <c r="M288" s="12"/>
      <c r="N288" s="12"/>
      <c r="O288" s="12"/>
    </row>
    <row r="289" spans="1:15">
      <c r="A289" s="3"/>
      <c r="B289" s="3"/>
      <c r="H289" s="11"/>
      <c r="I289" s="11"/>
      <c r="J289" s="11"/>
      <c r="K289" s="11"/>
      <c r="L289" s="12"/>
      <c r="M289" s="12"/>
      <c r="N289" s="12"/>
      <c r="O289" s="12"/>
    </row>
    <row r="290" spans="1:15">
      <c r="A290" s="3"/>
      <c r="B290" s="3"/>
      <c r="H290" s="11"/>
      <c r="I290" s="11"/>
      <c r="J290" s="11"/>
      <c r="K290" s="11"/>
      <c r="L290" s="12"/>
      <c r="M290" s="12"/>
      <c r="N290" s="12"/>
      <c r="O290" s="12"/>
    </row>
    <row r="291" spans="1:15">
      <c r="A291" s="3"/>
      <c r="B291" s="3"/>
      <c r="H291" s="11"/>
      <c r="I291" s="11"/>
      <c r="J291" s="11"/>
      <c r="K291" s="11"/>
      <c r="L291" s="12"/>
      <c r="M291" s="12"/>
      <c r="N291" s="12"/>
      <c r="O291" s="12"/>
    </row>
    <row r="292" spans="1:15">
      <c r="A292" s="3"/>
      <c r="B292" s="3"/>
      <c r="H292" s="11"/>
      <c r="I292" s="11"/>
      <c r="J292" s="11"/>
      <c r="K292" s="11"/>
      <c r="L292" s="12"/>
      <c r="M292" s="12"/>
      <c r="N292" s="12"/>
      <c r="O292" s="12"/>
    </row>
    <row r="293" spans="1:15">
      <c r="A293" s="3"/>
      <c r="B293" s="3"/>
      <c r="H293" s="11"/>
      <c r="I293" s="11"/>
      <c r="J293" s="11"/>
      <c r="K293" s="11"/>
      <c r="L293" s="12"/>
      <c r="M293" s="12"/>
      <c r="N293" s="12"/>
      <c r="O293" s="12"/>
    </row>
    <row r="294" spans="1:15">
      <c r="A294" s="3"/>
      <c r="B294" s="3"/>
      <c r="H294" s="11"/>
      <c r="I294" s="11"/>
      <c r="J294" s="11"/>
      <c r="K294" s="11"/>
      <c r="L294" s="12"/>
      <c r="M294" s="12"/>
      <c r="N294" s="12"/>
      <c r="O294" s="12"/>
    </row>
    <row r="295" spans="1:15">
      <c r="A295" s="3"/>
      <c r="B295" s="3"/>
      <c r="H295" s="11"/>
      <c r="I295" s="11"/>
      <c r="J295" s="11"/>
      <c r="K295" s="11"/>
      <c r="L295" s="12"/>
      <c r="M295" s="12"/>
      <c r="N295" s="12"/>
      <c r="O295" s="12"/>
    </row>
    <row r="296" spans="1:15">
      <c r="A296" s="3"/>
      <c r="B296" s="3"/>
      <c r="H296" s="11"/>
      <c r="I296" s="11"/>
      <c r="J296" s="11"/>
      <c r="K296" s="11"/>
      <c r="L296" s="12"/>
      <c r="M296" s="12"/>
      <c r="N296" s="12"/>
      <c r="O296" s="12"/>
    </row>
    <row r="297" spans="1:15">
      <c r="A297" s="3"/>
      <c r="B297" s="3"/>
      <c r="H297" s="11"/>
      <c r="I297" s="11"/>
      <c r="J297" s="11"/>
      <c r="K297" s="11"/>
      <c r="L297" s="12"/>
      <c r="M297" s="12"/>
      <c r="N297" s="12"/>
      <c r="O297" s="12"/>
    </row>
    <row r="298" spans="1:15">
      <c r="A298" s="3"/>
      <c r="B298" s="3"/>
      <c r="H298" s="11"/>
      <c r="I298" s="11"/>
      <c r="J298" s="11"/>
      <c r="K298" s="11"/>
      <c r="L298" s="12"/>
      <c r="M298" s="12"/>
      <c r="N298" s="12"/>
      <c r="O298" s="12"/>
    </row>
    <row r="299" spans="1:15">
      <c r="A299" s="3"/>
      <c r="B299" s="3"/>
      <c r="H299" s="11"/>
      <c r="I299" s="11"/>
      <c r="J299" s="11"/>
      <c r="K299" s="11"/>
      <c r="L299" s="12"/>
      <c r="M299" s="12"/>
      <c r="N299" s="12"/>
      <c r="O299" s="12"/>
    </row>
    <row r="300" spans="1:15">
      <c r="A300" s="3"/>
      <c r="B300" s="3"/>
      <c r="H300" s="11"/>
      <c r="I300" s="11"/>
      <c r="J300" s="11"/>
      <c r="K300" s="11"/>
      <c r="L300" s="12"/>
      <c r="M300" s="12"/>
      <c r="N300" s="12"/>
      <c r="O300" s="12"/>
    </row>
    <row r="301" spans="1:15">
      <c r="A301" s="3"/>
      <c r="B301" s="3"/>
      <c r="H301" s="11"/>
      <c r="I301" s="11"/>
      <c r="J301" s="11"/>
      <c r="K301" s="11"/>
      <c r="L301" s="12"/>
      <c r="M301" s="12"/>
      <c r="N301" s="12"/>
      <c r="O301" s="12"/>
    </row>
    <row r="302" spans="1:15">
      <c r="A302" s="3"/>
      <c r="B302" s="3"/>
      <c r="H302" s="11"/>
      <c r="I302" s="11"/>
      <c r="J302" s="11"/>
      <c r="K302" s="11"/>
      <c r="L302" s="12"/>
      <c r="M302" s="12"/>
      <c r="N302" s="12"/>
      <c r="O302" s="12"/>
    </row>
    <row r="303" spans="1:15">
      <c r="A303" s="3"/>
      <c r="B303" s="3"/>
      <c r="H303" s="11"/>
      <c r="I303" s="11"/>
      <c r="J303" s="11"/>
      <c r="K303" s="11"/>
      <c r="L303" s="12"/>
      <c r="M303" s="12"/>
      <c r="N303" s="12"/>
      <c r="O303" s="12"/>
    </row>
    <row r="304" spans="1:15">
      <c r="A304" s="3"/>
      <c r="B304" s="3"/>
      <c r="H304" s="11"/>
      <c r="I304" s="11"/>
      <c r="J304" s="11"/>
      <c r="K304" s="11"/>
      <c r="L304" s="12"/>
      <c r="M304" s="12"/>
      <c r="N304" s="12"/>
      <c r="O304" s="12"/>
    </row>
    <row r="305" spans="1:15">
      <c r="A305" s="3"/>
      <c r="B305" s="3"/>
      <c r="H305" s="11"/>
      <c r="I305" s="11"/>
      <c r="J305" s="11"/>
      <c r="K305" s="11"/>
      <c r="L305" s="12"/>
      <c r="M305" s="12"/>
      <c r="N305" s="12"/>
      <c r="O305" s="12"/>
    </row>
    <row r="306" spans="1:15">
      <c r="A306" s="3"/>
      <c r="B306" s="3"/>
      <c r="H306" s="11"/>
      <c r="I306" s="11"/>
      <c r="J306" s="11"/>
      <c r="K306" s="11"/>
      <c r="L306" s="12"/>
      <c r="M306" s="12"/>
      <c r="N306" s="12"/>
      <c r="O306" s="12"/>
    </row>
    <row r="307" spans="1:15">
      <c r="A307" s="3"/>
      <c r="B307" s="3"/>
      <c r="H307" s="11"/>
      <c r="I307" s="11"/>
      <c r="J307" s="11"/>
      <c r="K307" s="11"/>
      <c r="L307" s="12"/>
      <c r="M307" s="12"/>
      <c r="N307" s="12"/>
      <c r="O307" s="12"/>
    </row>
    <row r="308" spans="1:15">
      <c r="A308" s="3"/>
      <c r="B308" s="3"/>
      <c r="H308" s="11"/>
      <c r="I308" s="11"/>
      <c r="J308" s="11"/>
      <c r="K308" s="11"/>
      <c r="L308" s="12"/>
      <c r="M308" s="12"/>
      <c r="N308" s="12"/>
      <c r="O308" s="12"/>
    </row>
    <row r="309" spans="1:15">
      <c r="A309" s="3"/>
      <c r="B309" s="3"/>
      <c r="H309" s="11"/>
      <c r="I309" s="11"/>
      <c r="J309" s="11"/>
      <c r="K309" s="11"/>
      <c r="L309" s="12"/>
      <c r="M309" s="12"/>
      <c r="N309" s="12"/>
      <c r="O309" s="12"/>
    </row>
    <row r="310" spans="1:15">
      <c r="A310" s="3"/>
      <c r="B310" s="3"/>
      <c r="H310" s="11"/>
      <c r="I310" s="11"/>
      <c r="J310" s="11"/>
      <c r="K310" s="11"/>
      <c r="L310" s="12"/>
      <c r="M310" s="12"/>
      <c r="N310" s="12"/>
      <c r="O310" s="12"/>
    </row>
    <row r="311" spans="1:15">
      <c r="A311" s="3"/>
      <c r="B311" s="3"/>
      <c r="H311" s="11"/>
      <c r="I311" s="11"/>
      <c r="J311" s="11"/>
      <c r="K311" s="11"/>
      <c r="L311" s="12"/>
      <c r="M311" s="12"/>
      <c r="N311" s="12"/>
      <c r="O311" s="12"/>
    </row>
    <row r="312" spans="1:15">
      <c r="A312" s="3"/>
      <c r="B312" s="3"/>
      <c r="H312" s="11"/>
      <c r="I312" s="11"/>
      <c r="J312" s="11"/>
      <c r="K312" s="11"/>
      <c r="L312" s="12"/>
      <c r="M312" s="12"/>
      <c r="N312" s="12"/>
      <c r="O312" s="12"/>
    </row>
    <row r="313" spans="1:15">
      <c r="A313" s="3"/>
      <c r="B313" s="3"/>
      <c r="H313" s="11"/>
      <c r="I313" s="11"/>
      <c r="J313" s="11"/>
      <c r="K313" s="11"/>
      <c r="L313" s="12"/>
      <c r="M313" s="12"/>
      <c r="N313" s="12"/>
      <c r="O313" s="12"/>
    </row>
    <row r="314" spans="1:15">
      <c r="A314" s="3"/>
      <c r="B314" s="3"/>
      <c r="H314" s="11"/>
      <c r="I314" s="11"/>
      <c r="J314" s="11"/>
      <c r="K314" s="11"/>
      <c r="L314" s="12"/>
      <c r="M314" s="12"/>
      <c r="N314" s="12"/>
      <c r="O314" s="12"/>
    </row>
    <row r="315" spans="1:15">
      <c r="A315" s="3"/>
      <c r="B315" s="3"/>
      <c r="H315" s="11"/>
      <c r="I315" s="11"/>
      <c r="J315" s="11"/>
      <c r="K315" s="11"/>
      <c r="L315" s="12"/>
      <c r="M315" s="12"/>
      <c r="N315" s="12"/>
      <c r="O315" s="12"/>
    </row>
    <row r="316" spans="1:15">
      <c r="A316" s="3"/>
      <c r="B316" s="3"/>
      <c r="H316" s="11"/>
      <c r="I316" s="11"/>
      <c r="J316" s="11"/>
      <c r="K316" s="11"/>
      <c r="L316" s="12"/>
      <c r="M316" s="12"/>
      <c r="N316" s="12"/>
      <c r="O316" s="12"/>
    </row>
    <row r="317" spans="1:15">
      <c r="A317" s="3"/>
      <c r="B317" s="3"/>
      <c r="H317" s="11"/>
      <c r="I317" s="11"/>
      <c r="J317" s="11"/>
      <c r="K317" s="11"/>
      <c r="L317" s="12"/>
      <c r="M317" s="12"/>
      <c r="N317" s="12"/>
      <c r="O317" s="12"/>
    </row>
    <row r="318" spans="1:15">
      <c r="A318" s="3"/>
      <c r="B318" s="3"/>
      <c r="H318" s="11"/>
      <c r="I318" s="11"/>
      <c r="J318" s="11"/>
      <c r="K318" s="11"/>
      <c r="L318" s="12"/>
      <c r="M318" s="12"/>
      <c r="N318" s="12"/>
      <c r="O318" s="12"/>
    </row>
    <row r="319" spans="1:15">
      <c r="A319" s="3"/>
      <c r="B319" s="3"/>
      <c r="H319" s="11"/>
      <c r="I319" s="11"/>
      <c r="J319" s="11"/>
      <c r="K319" s="11"/>
      <c r="L319" s="12"/>
      <c r="M319" s="12"/>
      <c r="N319" s="12"/>
      <c r="O319" s="12"/>
    </row>
    <row r="320" spans="1:15">
      <c r="A320" s="3"/>
      <c r="B320" s="3"/>
      <c r="H320" s="11"/>
      <c r="I320" s="11"/>
      <c r="J320" s="11"/>
      <c r="K320" s="11"/>
      <c r="L320" s="12"/>
      <c r="M320" s="12"/>
      <c r="N320" s="12"/>
      <c r="O320" s="12"/>
    </row>
    <row r="321" spans="1:15">
      <c r="A321" s="3"/>
      <c r="B321" s="3"/>
      <c r="H321" s="11"/>
      <c r="I321" s="11"/>
      <c r="J321" s="11"/>
      <c r="K321" s="11"/>
      <c r="L321" s="12"/>
      <c r="M321" s="12"/>
      <c r="N321" s="12"/>
      <c r="O321" s="12"/>
    </row>
    <row r="322" spans="1:15">
      <c r="A322" s="3"/>
      <c r="B322" s="3"/>
      <c r="H322" s="11"/>
      <c r="I322" s="11"/>
      <c r="J322" s="11"/>
      <c r="K322" s="11"/>
      <c r="L322" s="12"/>
      <c r="M322" s="12"/>
      <c r="N322" s="12"/>
      <c r="O322" s="12"/>
    </row>
    <row r="323" spans="1:15">
      <c r="A323" s="3"/>
      <c r="B323" s="3"/>
      <c r="H323" s="11"/>
      <c r="I323" s="11"/>
      <c r="J323" s="11"/>
      <c r="K323" s="11"/>
      <c r="L323" s="12"/>
      <c r="M323" s="12"/>
      <c r="N323" s="12"/>
      <c r="O323" s="12"/>
    </row>
    <row r="324" spans="1:15">
      <c r="A324" s="3"/>
      <c r="B324" s="3"/>
      <c r="H324" s="11"/>
      <c r="I324" s="11"/>
      <c r="J324" s="11"/>
      <c r="K324" s="11"/>
      <c r="L324" s="12"/>
      <c r="M324" s="12"/>
      <c r="N324" s="12"/>
      <c r="O324" s="12"/>
    </row>
    <row r="325" spans="1:15">
      <c r="A325" s="3"/>
      <c r="B325" s="3"/>
      <c r="H325" s="11"/>
      <c r="I325" s="11"/>
      <c r="J325" s="11"/>
      <c r="K325" s="11"/>
      <c r="L325" s="12"/>
      <c r="M325" s="12"/>
      <c r="N325" s="12"/>
      <c r="O325" s="12"/>
    </row>
    <row r="326" spans="1:15">
      <c r="A326" s="3"/>
      <c r="B326" s="3"/>
      <c r="H326" s="11"/>
      <c r="I326" s="11"/>
      <c r="J326" s="11"/>
      <c r="K326" s="11"/>
      <c r="L326" s="12"/>
      <c r="M326" s="12"/>
      <c r="N326" s="12"/>
      <c r="O326" s="12"/>
    </row>
    <row r="327" spans="1:15">
      <c r="A327" s="3"/>
      <c r="B327" s="3"/>
      <c r="H327" s="11"/>
      <c r="I327" s="11"/>
      <c r="J327" s="11"/>
      <c r="K327" s="11"/>
      <c r="L327" s="12"/>
      <c r="M327" s="12"/>
      <c r="N327" s="12"/>
      <c r="O327" s="12"/>
    </row>
    <row r="328" spans="1:15">
      <c r="A328" s="3"/>
      <c r="B328" s="3"/>
      <c r="H328" s="11"/>
      <c r="I328" s="11"/>
      <c r="J328" s="11"/>
      <c r="K328" s="11"/>
      <c r="L328" s="12"/>
      <c r="M328" s="12"/>
      <c r="N328" s="12"/>
      <c r="O328" s="12"/>
    </row>
    <row r="329" spans="1:15">
      <c r="A329" s="3"/>
      <c r="B329" s="3"/>
      <c r="H329" s="11"/>
      <c r="I329" s="11"/>
      <c r="J329" s="11"/>
      <c r="K329" s="11"/>
      <c r="L329" s="12"/>
      <c r="M329" s="12"/>
      <c r="N329" s="12"/>
      <c r="O329" s="12"/>
    </row>
    <row r="330" spans="1:15">
      <c r="A330" s="3"/>
      <c r="B330" s="3"/>
      <c r="H330" s="11"/>
      <c r="I330" s="11"/>
      <c r="J330" s="11"/>
      <c r="K330" s="11"/>
      <c r="L330" s="12"/>
      <c r="M330" s="12"/>
      <c r="N330" s="12"/>
      <c r="O330" s="12"/>
    </row>
    <row r="331" spans="1:15">
      <c r="A331" s="3"/>
      <c r="B331" s="3"/>
      <c r="H331" s="11"/>
      <c r="I331" s="11"/>
      <c r="J331" s="11"/>
      <c r="K331" s="11"/>
      <c r="L331" s="12"/>
      <c r="M331" s="12"/>
      <c r="N331" s="12"/>
      <c r="O331" s="12"/>
    </row>
    <row r="332" spans="1:15">
      <c r="A332" s="3"/>
      <c r="B332" s="3"/>
      <c r="H332" s="11"/>
      <c r="I332" s="11"/>
      <c r="J332" s="11"/>
      <c r="K332" s="11"/>
      <c r="L332" s="12"/>
      <c r="M332" s="12"/>
      <c r="N332" s="12"/>
      <c r="O332" s="12"/>
    </row>
    <row r="333" spans="1:15">
      <c r="A333" s="3"/>
      <c r="B333" s="3"/>
      <c r="H333" s="11"/>
      <c r="I333" s="11"/>
      <c r="J333" s="11"/>
      <c r="K333" s="11"/>
      <c r="L333" s="12"/>
      <c r="M333" s="12"/>
      <c r="N333" s="12"/>
      <c r="O333" s="12"/>
    </row>
    <row r="334" spans="1:15">
      <c r="A334" s="3"/>
      <c r="B334" s="3"/>
      <c r="H334" s="11"/>
      <c r="I334" s="11"/>
      <c r="J334" s="11"/>
      <c r="K334" s="11"/>
      <c r="L334" s="12"/>
      <c r="M334" s="12"/>
      <c r="N334" s="12"/>
      <c r="O334" s="12"/>
    </row>
    <row r="335" spans="1:15">
      <c r="A335" s="3"/>
      <c r="B335" s="3"/>
      <c r="H335" s="11"/>
      <c r="I335" s="11"/>
      <c r="J335" s="11"/>
      <c r="K335" s="11"/>
      <c r="L335" s="12"/>
      <c r="M335" s="12"/>
      <c r="N335" s="12"/>
      <c r="O335" s="12"/>
    </row>
    <row r="336" spans="1:15">
      <c r="A336" s="3"/>
      <c r="B336" s="3"/>
      <c r="H336" s="11"/>
      <c r="I336" s="11"/>
      <c r="J336" s="11"/>
      <c r="K336" s="11"/>
      <c r="L336" s="12"/>
      <c r="M336" s="12"/>
      <c r="N336" s="12"/>
      <c r="O336" s="12"/>
    </row>
    <row r="337" spans="1:15">
      <c r="A337" s="3"/>
      <c r="B337" s="3"/>
      <c r="H337" s="11"/>
      <c r="I337" s="11"/>
      <c r="J337" s="11"/>
      <c r="K337" s="11"/>
      <c r="L337" s="12"/>
      <c r="M337" s="12"/>
      <c r="N337" s="12"/>
      <c r="O337" s="12"/>
    </row>
    <row r="338" spans="1:15">
      <c r="A338" s="3"/>
      <c r="B338" s="3"/>
      <c r="H338" s="11"/>
      <c r="I338" s="11"/>
      <c r="J338" s="11"/>
      <c r="K338" s="11"/>
      <c r="L338" s="12"/>
      <c r="M338" s="12"/>
      <c r="N338" s="12"/>
      <c r="O338" s="12"/>
    </row>
    <row r="339" spans="1:15">
      <c r="A339" s="3"/>
      <c r="B339" s="3"/>
      <c r="H339" s="11"/>
      <c r="I339" s="11"/>
      <c r="J339" s="11"/>
      <c r="K339" s="11"/>
      <c r="L339" s="12"/>
      <c r="M339" s="12"/>
      <c r="N339" s="12"/>
      <c r="O339" s="12"/>
    </row>
    <row r="340" spans="1:15">
      <c r="A340" s="3"/>
      <c r="B340" s="3"/>
      <c r="H340" s="11"/>
      <c r="I340" s="11"/>
      <c r="J340" s="11"/>
      <c r="K340" s="11"/>
      <c r="L340" s="12"/>
      <c r="M340" s="12"/>
      <c r="N340" s="12"/>
      <c r="O340" s="12"/>
    </row>
    <row r="341" spans="1:15">
      <c r="A341" s="3"/>
      <c r="B341" s="3"/>
      <c r="H341" s="11"/>
      <c r="I341" s="11"/>
      <c r="J341" s="11"/>
      <c r="K341" s="11"/>
      <c r="L341" s="12"/>
      <c r="M341" s="12"/>
      <c r="N341" s="12"/>
      <c r="O341" s="12"/>
    </row>
    <row r="342" spans="1:15">
      <c r="A342" s="3"/>
      <c r="B342" s="3"/>
      <c r="H342" s="11"/>
      <c r="I342" s="11"/>
      <c r="J342" s="11"/>
      <c r="K342" s="11"/>
      <c r="L342" s="12"/>
      <c r="M342" s="12"/>
      <c r="N342" s="12"/>
      <c r="O342" s="12"/>
    </row>
    <row r="343" spans="1:15">
      <c r="A343" s="3"/>
      <c r="B343" s="3"/>
      <c r="H343" s="11"/>
      <c r="I343" s="11"/>
      <c r="J343" s="11"/>
      <c r="K343" s="11"/>
      <c r="L343" s="12"/>
      <c r="M343" s="12"/>
      <c r="N343" s="12"/>
      <c r="O343" s="12"/>
    </row>
    <row r="344" spans="1:15">
      <c r="A344" s="3"/>
      <c r="B344" s="3"/>
      <c r="H344" s="11"/>
      <c r="I344" s="11"/>
      <c r="J344" s="11"/>
      <c r="K344" s="11"/>
      <c r="L344" s="12"/>
      <c r="M344" s="12"/>
      <c r="N344" s="12"/>
      <c r="O344" s="12"/>
    </row>
    <row r="345" spans="1:15">
      <c r="A345" s="3"/>
      <c r="B345" s="3"/>
      <c r="H345" s="11"/>
      <c r="I345" s="11"/>
      <c r="J345" s="11"/>
      <c r="K345" s="11"/>
      <c r="L345" s="12"/>
      <c r="M345" s="12"/>
      <c r="N345" s="12"/>
      <c r="O345" s="12"/>
    </row>
    <row r="346" spans="1:15">
      <c r="A346" s="3"/>
      <c r="B346" s="3"/>
      <c r="H346" s="11"/>
      <c r="I346" s="11"/>
      <c r="J346" s="11"/>
      <c r="K346" s="11"/>
      <c r="L346" s="12"/>
      <c r="M346" s="12"/>
      <c r="N346" s="12"/>
      <c r="O346" s="12"/>
    </row>
    <row r="347" spans="1:15">
      <c r="A347" s="3"/>
      <c r="B347" s="3"/>
      <c r="H347" s="11"/>
      <c r="I347" s="11"/>
      <c r="J347" s="11"/>
      <c r="K347" s="11"/>
      <c r="L347" s="12"/>
      <c r="M347" s="12"/>
      <c r="N347" s="12"/>
      <c r="O347" s="12"/>
    </row>
    <row r="348" spans="1:15">
      <c r="A348" s="3"/>
      <c r="B348" s="3"/>
      <c r="H348" s="11"/>
      <c r="I348" s="11"/>
      <c r="J348" s="11"/>
      <c r="K348" s="11"/>
      <c r="L348" s="12"/>
      <c r="M348" s="12"/>
      <c r="N348" s="12"/>
      <c r="O348" s="12"/>
    </row>
    <row r="349" spans="1:15">
      <c r="A349" s="3"/>
      <c r="B349" s="3"/>
      <c r="H349" s="11"/>
      <c r="I349" s="11"/>
      <c r="J349" s="11"/>
      <c r="K349" s="11"/>
      <c r="L349" s="12"/>
      <c r="M349" s="12"/>
      <c r="N349" s="12"/>
      <c r="O349" s="12"/>
    </row>
    <row r="350" spans="1:15">
      <c r="A350" s="3"/>
      <c r="B350" s="3"/>
      <c r="H350" s="11"/>
      <c r="I350" s="11"/>
      <c r="J350" s="11"/>
      <c r="K350" s="11"/>
      <c r="L350" s="12"/>
      <c r="M350" s="12"/>
      <c r="N350" s="12"/>
      <c r="O350" s="12"/>
    </row>
    <row r="351" spans="1:15">
      <c r="A351" s="3"/>
      <c r="B351" s="3"/>
      <c r="H351" s="11"/>
      <c r="I351" s="11"/>
      <c r="J351" s="11"/>
      <c r="K351" s="11"/>
      <c r="L351" s="12"/>
      <c r="M351" s="12"/>
      <c r="N351" s="12"/>
      <c r="O351" s="12"/>
    </row>
    <row r="352" spans="1:15">
      <c r="A352" s="3"/>
      <c r="B352" s="3"/>
      <c r="H352" s="11"/>
      <c r="I352" s="11"/>
      <c r="J352" s="11"/>
      <c r="K352" s="11"/>
      <c r="L352" s="12"/>
      <c r="M352" s="12"/>
      <c r="N352" s="12"/>
      <c r="O352" s="12"/>
    </row>
    <row r="353" spans="1:15">
      <c r="A353" s="3"/>
      <c r="B353" s="3"/>
      <c r="H353" s="11"/>
      <c r="I353" s="11"/>
      <c r="J353" s="11"/>
      <c r="K353" s="11"/>
      <c r="L353" s="12"/>
      <c r="M353" s="12"/>
      <c r="N353" s="12"/>
      <c r="O353" s="12"/>
    </row>
    <row r="354" spans="1:15">
      <c r="A354" s="3"/>
      <c r="B354" s="3"/>
      <c r="H354" s="11"/>
      <c r="I354" s="11"/>
      <c r="J354" s="11"/>
      <c r="K354" s="11"/>
      <c r="L354" s="12"/>
      <c r="M354" s="12"/>
      <c r="N354" s="12"/>
      <c r="O354" s="12"/>
    </row>
    <row r="355" spans="1:15">
      <c r="A355" s="3"/>
      <c r="B355" s="3"/>
      <c r="H355" s="11"/>
      <c r="I355" s="11"/>
      <c r="J355" s="11"/>
      <c r="K355" s="11"/>
      <c r="L355" s="12"/>
      <c r="M355" s="12"/>
      <c r="N355" s="12"/>
      <c r="O355" s="12"/>
    </row>
    <row r="356" spans="1:15">
      <c r="A356" s="3"/>
      <c r="B356" s="3"/>
      <c r="H356" s="11"/>
      <c r="I356" s="11"/>
      <c r="J356" s="11"/>
      <c r="K356" s="11"/>
      <c r="L356" s="12"/>
      <c r="M356" s="12"/>
      <c r="N356" s="12"/>
      <c r="O356" s="12"/>
    </row>
    <row r="357" spans="1:15">
      <c r="A357" s="3"/>
      <c r="B357" s="3"/>
      <c r="H357" s="11"/>
      <c r="I357" s="11"/>
      <c r="J357" s="11"/>
      <c r="K357" s="11"/>
      <c r="L357" s="12"/>
      <c r="M357" s="12"/>
      <c r="N357" s="12"/>
      <c r="O357" s="12"/>
    </row>
    <row r="358" spans="1:15">
      <c r="A358" s="3"/>
      <c r="B358" s="3"/>
      <c r="H358" s="11"/>
      <c r="I358" s="11"/>
      <c r="J358" s="11"/>
      <c r="K358" s="11"/>
      <c r="L358" s="12"/>
      <c r="M358" s="12"/>
      <c r="N358" s="12"/>
      <c r="O358" s="12"/>
    </row>
    <row r="359" spans="1:15">
      <c r="A359" s="3"/>
      <c r="B359" s="3"/>
      <c r="H359" s="11"/>
      <c r="I359" s="11"/>
      <c r="J359" s="11"/>
      <c r="K359" s="11"/>
      <c r="L359" s="12"/>
      <c r="M359" s="12"/>
      <c r="N359" s="12"/>
      <c r="O359" s="12"/>
    </row>
    <row r="360" spans="1:15">
      <c r="A360" s="3"/>
      <c r="B360" s="3"/>
      <c r="H360" s="11"/>
      <c r="I360" s="11"/>
      <c r="J360" s="11"/>
      <c r="K360" s="11"/>
      <c r="L360" s="12"/>
      <c r="M360" s="12"/>
      <c r="N360" s="12"/>
      <c r="O360" s="12"/>
    </row>
    <row r="361" spans="1:15">
      <c r="A361" s="3"/>
      <c r="B361" s="3"/>
      <c r="H361" s="11"/>
      <c r="I361" s="11"/>
      <c r="J361" s="11"/>
      <c r="K361" s="11"/>
      <c r="L361" s="12"/>
      <c r="M361" s="12"/>
      <c r="N361" s="12"/>
      <c r="O361" s="12"/>
    </row>
    <row r="362" spans="1:15">
      <c r="A362" s="3"/>
      <c r="B362" s="3"/>
      <c r="H362" s="11"/>
      <c r="I362" s="11"/>
      <c r="J362" s="11"/>
      <c r="K362" s="11"/>
      <c r="L362" s="12"/>
      <c r="M362" s="12"/>
      <c r="N362" s="12"/>
      <c r="O362" s="12"/>
    </row>
    <row r="363" spans="1:15">
      <c r="A363" s="3"/>
      <c r="B363" s="3"/>
      <c r="H363" s="11"/>
      <c r="I363" s="11"/>
      <c r="J363" s="11"/>
      <c r="K363" s="11"/>
      <c r="L363" s="12"/>
      <c r="M363" s="12"/>
      <c r="N363" s="12"/>
      <c r="O363" s="12"/>
    </row>
    <row r="364" spans="1:15">
      <c r="A364" s="3"/>
      <c r="B364" s="3"/>
      <c r="H364" s="11"/>
      <c r="I364" s="11"/>
      <c r="J364" s="11"/>
      <c r="K364" s="11"/>
      <c r="L364" s="12"/>
      <c r="M364" s="12"/>
      <c r="N364" s="12"/>
      <c r="O364" s="12"/>
    </row>
    <row r="365" spans="1:15">
      <c r="A365" s="3"/>
      <c r="B365" s="3"/>
      <c r="H365" s="11"/>
      <c r="I365" s="11"/>
      <c r="J365" s="11"/>
      <c r="K365" s="11"/>
      <c r="L365" s="12"/>
      <c r="M365" s="12"/>
      <c r="N365" s="12"/>
      <c r="O365" s="12"/>
    </row>
    <row r="366" spans="1:15">
      <c r="A366" s="3"/>
      <c r="B366" s="3"/>
      <c r="H366" s="11"/>
      <c r="I366" s="11"/>
      <c r="J366" s="11"/>
      <c r="K366" s="11"/>
      <c r="L366" s="12"/>
      <c r="M366" s="12"/>
      <c r="N366" s="12"/>
      <c r="O366" s="12"/>
    </row>
    <row r="367" spans="1:15">
      <c r="A367" s="3"/>
      <c r="B367" s="3"/>
      <c r="H367" s="11"/>
      <c r="I367" s="11"/>
      <c r="J367" s="11"/>
      <c r="K367" s="11"/>
      <c r="L367" s="12"/>
      <c r="M367" s="12"/>
      <c r="N367" s="12"/>
      <c r="O367" s="12"/>
    </row>
    <row r="368" spans="1:15">
      <c r="A368" s="3"/>
      <c r="B368" s="3"/>
      <c r="H368" s="11"/>
      <c r="I368" s="11"/>
      <c r="J368" s="11"/>
      <c r="K368" s="11"/>
      <c r="L368" s="12"/>
      <c r="M368" s="12"/>
      <c r="N368" s="12"/>
      <c r="O368" s="12"/>
    </row>
    <row r="369" spans="1:15">
      <c r="A369" s="3"/>
      <c r="B369" s="3"/>
      <c r="H369" s="11"/>
      <c r="I369" s="11"/>
      <c r="J369" s="11"/>
      <c r="K369" s="11"/>
      <c r="L369" s="12"/>
      <c r="M369" s="12"/>
      <c r="N369" s="12"/>
      <c r="O369" s="12"/>
    </row>
    <row r="370" spans="1:15">
      <c r="A370" s="3"/>
      <c r="B370" s="3"/>
      <c r="H370" s="11"/>
      <c r="I370" s="11"/>
      <c r="J370" s="11"/>
      <c r="K370" s="11"/>
      <c r="L370" s="12"/>
      <c r="M370" s="12"/>
      <c r="N370" s="12"/>
      <c r="O370" s="12"/>
    </row>
    <row r="371" spans="1:15">
      <c r="A371" s="3"/>
      <c r="B371" s="3"/>
      <c r="H371" s="11"/>
      <c r="I371" s="11"/>
      <c r="J371" s="11"/>
      <c r="K371" s="11"/>
      <c r="L371" s="12"/>
      <c r="M371" s="12"/>
      <c r="N371" s="12"/>
      <c r="O371" s="12"/>
    </row>
    <row r="372" spans="1:15">
      <c r="A372" s="3"/>
      <c r="B372" s="3"/>
      <c r="H372" s="11"/>
      <c r="I372" s="11"/>
      <c r="J372" s="11"/>
      <c r="K372" s="11"/>
      <c r="L372" s="12"/>
      <c r="M372" s="12"/>
      <c r="N372" s="12"/>
      <c r="O372" s="12"/>
    </row>
    <row r="373" spans="1:15">
      <c r="A373" s="3"/>
      <c r="B373" s="3"/>
      <c r="H373" s="11"/>
      <c r="I373" s="11"/>
      <c r="J373" s="11"/>
      <c r="K373" s="11"/>
      <c r="L373" s="12"/>
      <c r="M373" s="12"/>
      <c r="N373" s="12"/>
      <c r="O373" s="12"/>
    </row>
    <row r="374" spans="1:15">
      <c r="A374" s="3"/>
      <c r="B374" s="3"/>
      <c r="H374" s="11"/>
      <c r="I374" s="11"/>
      <c r="J374" s="11"/>
      <c r="K374" s="11"/>
      <c r="L374" s="12"/>
      <c r="M374" s="12"/>
      <c r="N374" s="12"/>
      <c r="O374" s="12"/>
    </row>
    <row r="375" spans="1:15">
      <c r="A375" s="3"/>
      <c r="B375" s="3"/>
      <c r="H375" s="11"/>
      <c r="I375" s="11"/>
      <c r="J375" s="11"/>
      <c r="K375" s="11"/>
      <c r="L375" s="12"/>
      <c r="M375" s="12"/>
      <c r="N375" s="12"/>
      <c r="O375" s="12"/>
    </row>
    <row r="376" spans="1:15">
      <c r="A376" s="3"/>
      <c r="B376" s="3"/>
      <c r="H376" s="11"/>
      <c r="I376" s="11"/>
      <c r="J376" s="11"/>
      <c r="K376" s="11"/>
      <c r="L376" s="12"/>
      <c r="M376" s="12"/>
      <c r="N376" s="12"/>
      <c r="O376" s="12"/>
    </row>
    <row r="377" spans="1:15">
      <c r="A377" s="3"/>
      <c r="B377" s="3"/>
      <c r="H377" s="11"/>
      <c r="I377" s="11"/>
      <c r="J377" s="11"/>
      <c r="K377" s="11"/>
      <c r="L377" s="12"/>
      <c r="M377" s="12"/>
      <c r="N377" s="12"/>
      <c r="O377" s="12"/>
    </row>
    <row r="378" spans="1:15">
      <c r="A378" s="3"/>
      <c r="B378" s="3"/>
      <c r="H378" s="11"/>
      <c r="I378" s="11"/>
      <c r="J378" s="11"/>
      <c r="K378" s="11"/>
      <c r="L378" s="12"/>
      <c r="M378" s="12"/>
      <c r="N378" s="12"/>
      <c r="O378" s="12"/>
    </row>
    <row r="379" spans="1:15">
      <c r="A379" s="3"/>
      <c r="B379" s="3"/>
      <c r="H379" s="11"/>
      <c r="I379" s="11"/>
      <c r="J379" s="11"/>
      <c r="K379" s="11"/>
      <c r="L379" s="12"/>
      <c r="M379" s="12"/>
      <c r="N379" s="12"/>
      <c r="O379" s="12"/>
    </row>
    <row r="380" spans="1:15">
      <c r="A380" s="3"/>
      <c r="B380" s="3"/>
      <c r="H380" s="11"/>
      <c r="I380" s="11"/>
      <c r="J380" s="11"/>
      <c r="K380" s="11"/>
      <c r="L380" s="12"/>
      <c r="M380" s="12"/>
      <c r="N380" s="12"/>
      <c r="O380" s="12"/>
    </row>
    <row r="381" spans="1:15">
      <c r="A381" s="3"/>
      <c r="B381" s="3"/>
      <c r="H381" s="11"/>
      <c r="I381" s="11"/>
      <c r="J381" s="11"/>
      <c r="K381" s="11"/>
      <c r="L381" s="12"/>
      <c r="M381" s="12"/>
      <c r="N381" s="12"/>
      <c r="O381" s="12"/>
    </row>
    <row r="382" spans="1:15">
      <c r="A382" s="3"/>
      <c r="B382" s="3"/>
      <c r="H382" s="11"/>
      <c r="I382" s="11"/>
      <c r="J382" s="11"/>
      <c r="K382" s="11"/>
      <c r="L382" s="12"/>
      <c r="M382" s="12"/>
      <c r="N382" s="12"/>
      <c r="O382" s="12"/>
    </row>
    <row r="383" spans="1:15">
      <c r="A383" s="3"/>
      <c r="B383" s="3"/>
      <c r="H383" s="11"/>
      <c r="I383" s="11"/>
      <c r="J383" s="11"/>
      <c r="K383" s="11"/>
      <c r="L383" s="12"/>
      <c r="M383" s="12"/>
      <c r="N383" s="12"/>
      <c r="O383" s="12"/>
    </row>
    <row r="384" spans="1:15">
      <c r="A384" s="3"/>
      <c r="B384" s="3"/>
      <c r="H384" s="11"/>
      <c r="I384" s="11"/>
      <c r="J384" s="11"/>
      <c r="K384" s="11"/>
      <c r="L384" s="12"/>
      <c r="M384" s="12"/>
      <c r="N384" s="12"/>
      <c r="O384" s="12"/>
    </row>
    <row r="385" spans="1:15">
      <c r="A385" s="3"/>
      <c r="B385" s="3"/>
      <c r="H385" s="11"/>
      <c r="I385" s="11"/>
      <c r="J385" s="11"/>
      <c r="K385" s="11"/>
      <c r="L385" s="12"/>
      <c r="M385" s="12"/>
      <c r="N385" s="12"/>
      <c r="O385" s="12"/>
    </row>
    <row r="386" spans="1:15">
      <c r="A386" s="3"/>
      <c r="B386" s="3"/>
      <c r="H386" s="11"/>
      <c r="I386" s="11"/>
      <c r="J386" s="11"/>
      <c r="K386" s="11"/>
      <c r="L386" s="12"/>
      <c r="M386" s="12"/>
      <c r="N386" s="12"/>
      <c r="O386" s="12"/>
    </row>
    <row r="387" spans="1:15">
      <c r="A387" s="3"/>
      <c r="B387" s="3"/>
      <c r="H387" s="11"/>
      <c r="I387" s="11"/>
      <c r="J387" s="11"/>
      <c r="K387" s="11"/>
      <c r="L387" s="12"/>
      <c r="M387" s="12"/>
      <c r="N387" s="12"/>
      <c r="O387" s="12"/>
    </row>
    <row r="388" spans="1:15">
      <c r="A388" s="3"/>
      <c r="B388" s="3"/>
      <c r="H388" s="11"/>
      <c r="I388" s="11"/>
      <c r="J388" s="11"/>
      <c r="K388" s="11"/>
      <c r="L388" s="12"/>
      <c r="M388" s="12"/>
      <c r="N388" s="12"/>
      <c r="O388" s="12"/>
    </row>
    <row r="389" spans="1:15">
      <c r="A389" s="3"/>
      <c r="B389" s="3"/>
      <c r="H389" s="11"/>
      <c r="I389" s="11"/>
      <c r="J389" s="11"/>
      <c r="K389" s="11"/>
      <c r="L389" s="12"/>
      <c r="M389" s="12"/>
      <c r="N389" s="12"/>
      <c r="O389" s="12"/>
    </row>
    <row r="390" spans="1:15">
      <c r="A390" s="3"/>
      <c r="B390" s="3"/>
      <c r="H390" s="11"/>
      <c r="I390" s="11"/>
      <c r="J390" s="11"/>
      <c r="K390" s="11"/>
      <c r="L390" s="12"/>
      <c r="M390" s="12"/>
      <c r="N390" s="12"/>
      <c r="O390" s="12"/>
    </row>
    <row r="391" spans="1:15">
      <c r="A391" s="3"/>
      <c r="B391" s="3"/>
      <c r="H391" s="11"/>
      <c r="I391" s="11"/>
      <c r="J391" s="11"/>
      <c r="K391" s="11"/>
      <c r="L391" s="12"/>
      <c r="M391" s="12"/>
      <c r="N391" s="12"/>
      <c r="O391" s="12"/>
    </row>
    <row r="392" spans="1:15">
      <c r="A392" s="3"/>
      <c r="B392" s="3"/>
      <c r="H392" s="11"/>
      <c r="I392" s="11"/>
      <c r="J392" s="11"/>
      <c r="K392" s="11"/>
      <c r="L392" s="12"/>
      <c r="M392" s="12"/>
      <c r="N392" s="12"/>
      <c r="O392" s="12"/>
    </row>
    <row r="393" spans="1:15">
      <c r="A393" s="3"/>
      <c r="B393" s="3"/>
      <c r="H393" s="11"/>
      <c r="I393" s="11"/>
      <c r="J393" s="11"/>
      <c r="K393" s="11"/>
      <c r="L393" s="12"/>
      <c r="M393" s="12"/>
      <c r="N393" s="12"/>
      <c r="O393" s="12"/>
    </row>
    <row r="394" spans="1:15">
      <c r="A394" s="3"/>
      <c r="B394" s="3"/>
      <c r="H394" s="11"/>
      <c r="I394" s="11"/>
      <c r="J394" s="11"/>
      <c r="K394" s="11"/>
      <c r="L394" s="12"/>
      <c r="M394" s="12"/>
      <c r="N394" s="12"/>
      <c r="O394" s="12"/>
    </row>
    <row r="395" spans="1:15">
      <c r="A395" s="3"/>
      <c r="B395" s="3"/>
      <c r="H395" s="11"/>
      <c r="I395" s="11"/>
      <c r="J395" s="11"/>
      <c r="K395" s="11"/>
      <c r="L395" s="12"/>
      <c r="M395" s="12"/>
      <c r="N395" s="12"/>
      <c r="O395" s="12"/>
    </row>
    <row r="396" spans="1:15">
      <c r="A396" s="3"/>
      <c r="B396" s="3"/>
      <c r="H396" s="11"/>
      <c r="I396" s="11"/>
      <c r="J396" s="11"/>
      <c r="K396" s="11"/>
      <c r="L396" s="12"/>
      <c r="M396" s="12"/>
      <c r="N396" s="12"/>
      <c r="O396" s="12"/>
    </row>
    <row r="397" spans="1:15">
      <c r="A397" s="3"/>
      <c r="B397" s="3"/>
      <c r="H397" s="11"/>
      <c r="I397" s="11"/>
      <c r="J397" s="11"/>
      <c r="K397" s="11"/>
      <c r="L397" s="12"/>
      <c r="M397" s="12"/>
      <c r="N397" s="12"/>
      <c r="O397" s="12"/>
    </row>
    <row r="398" spans="1:15">
      <c r="A398" s="3"/>
      <c r="B398" s="3"/>
      <c r="H398" s="11"/>
      <c r="I398" s="11"/>
      <c r="J398" s="11"/>
      <c r="K398" s="11"/>
      <c r="L398" s="12"/>
      <c r="M398" s="12"/>
      <c r="N398" s="12"/>
      <c r="O398" s="12"/>
    </row>
    <row r="399" spans="1:15">
      <c r="A399" s="3"/>
      <c r="B399" s="3"/>
      <c r="H399" s="11"/>
      <c r="I399" s="11"/>
      <c r="J399" s="11"/>
      <c r="K399" s="11"/>
      <c r="L399" s="12"/>
      <c r="M399" s="12"/>
      <c r="N399" s="12"/>
      <c r="O399" s="12"/>
    </row>
    <row r="400" spans="1:15">
      <c r="A400" s="3"/>
      <c r="B400" s="3"/>
      <c r="H400" s="11"/>
      <c r="I400" s="11"/>
      <c r="J400" s="11"/>
      <c r="K400" s="11"/>
      <c r="L400" s="12"/>
      <c r="M400" s="12"/>
      <c r="N400" s="12"/>
      <c r="O400" s="12"/>
    </row>
    <row r="401" spans="1:15">
      <c r="A401" s="3"/>
      <c r="B401" s="3"/>
      <c r="H401" s="11"/>
      <c r="I401" s="11"/>
      <c r="J401" s="11"/>
      <c r="K401" s="11"/>
      <c r="L401" s="12"/>
      <c r="M401" s="12"/>
      <c r="N401" s="12"/>
      <c r="O401" s="12"/>
    </row>
    <row r="402" spans="1:15">
      <c r="A402" s="3"/>
      <c r="B402" s="3"/>
      <c r="H402" s="11"/>
      <c r="I402" s="11"/>
      <c r="J402" s="11"/>
      <c r="K402" s="11"/>
      <c r="L402" s="12"/>
      <c r="M402" s="12"/>
      <c r="N402" s="12"/>
      <c r="O402" s="12"/>
    </row>
    <row r="403" spans="1:15">
      <c r="A403" s="3"/>
      <c r="B403" s="3"/>
      <c r="H403" s="11"/>
      <c r="I403" s="11"/>
      <c r="J403" s="11"/>
      <c r="K403" s="11"/>
      <c r="L403" s="12"/>
      <c r="M403" s="12"/>
      <c r="N403" s="12"/>
      <c r="O403" s="12"/>
    </row>
    <row r="404" spans="1:15">
      <c r="A404" s="3"/>
      <c r="B404" s="3"/>
      <c r="H404" s="11"/>
      <c r="I404" s="11"/>
      <c r="J404" s="11"/>
      <c r="K404" s="11"/>
      <c r="L404" s="12"/>
      <c r="M404" s="12"/>
      <c r="N404" s="12"/>
      <c r="O404" s="12"/>
    </row>
    <row r="405" spans="1:15">
      <c r="A405" s="3"/>
      <c r="B405" s="3"/>
      <c r="H405" s="11"/>
      <c r="I405" s="11"/>
      <c r="J405" s="11"/>
      <c r="K405" s="11"/>
      <c r="L405" s="12"/>
      <c r="M405" s="12"/>
      <c r="N405" s="12"/>
      <c r="O405" s="12"/>
    </row>
    <row r="406" spans="1:15">
      <c r="A406" s="3"/>
      <c r="B406" s="3"/>
      <c r="H406" s="11"/>
      <c r="I406" s="11"/>
      <c r="J406" s="11"/>
      <c r="K406" s="11"/>
      <c r="L406" s="12"/>
      <c r="M406" s="12"/>
      <c r="N406" s="12"/>
      <c r="O406" s="12"/>
    </row>
    <row r="407" spans="1:15">
      <c r="A407" s="3"/>
      <c r="B407" s="3"/>
      <c r="H407" s="11"/>
      <c r="I407" s="11"/>
      <c r="J407" s="11"/>
      <c r="K407" s="11"/>
      <c r="L407" s="12"/>
      <c r="M407" s="12"/>
      <c r="N407" s="12"/>
      <c r="O407" s="12"/>
    </row>
    <row r="408" spans="1:15">
      <c r="A408" s="3"/>
      <c r="B408" s="3"/>
      <c r="H408" s="11"/>
      <c r="I408" s="11"/>
      <c r="J408" s="11"/>
      <c r="K408" s="11"/>
      <c r="L408" s="12"/>
      <c r="M408" s="12"/>
      <c r="N408" s="12"/>
      <c r="O408" s="12"/>
    </row>
    <row r="409" spans="1:15">
      <c r="A409" s="3"/>
      <c r="B409" s="3"/>
      <c r="H409" s="11"/>
      <c r="I409" s="11"/>
      <c r="J409" s="11"/>
      <c r="K409" s="11"/>
      <c r="L409" s="12"/>
      <c r="M409" s="12"/>
      <c r="N409" s="12"/>
      <c r="O409" s="12"/>
    </row>
    <row r="410" spans="1:15">
      <c r="A410" s="3"/>
      <c r="B410" s="3"/>
      <c r="H410" s="11"/>
      <c r="I410" s="11"/>
      <c r="J410" s="11"/>
      <c r="K410" s="11"/>
      <c r="L410" s="12"/>
      <c r="M410" s="12"/>
      <c r="N410" s="12"/>
      <c r="O410" s="12"/>
    </row>
    <row r="411" spans="1:15">
      <c r="A411" s="3"/>
      <c r="B411" s="3"/>
      <c r="H411" s="11"/>
      <c r="I411" s="11"/>
      <c r="J411" s="11"/>
      <c r="K411" s="11"/>
      <c r="L411" s="12"/>
      <c r="M411" s="12"/>
      <c r="N411" s="12"/>
      <c r="O411" s="12"/>
    </row>
    <row r="412" spans="1:15">
      <c r="A412" s="3"/>
      <c r="B412" s="3"/>
      <c r="H412" s="11"/>
      <c r="I412" s="11"/>
      <c r="J412" s="11"/>
      <c r="K412" s="11"/>
      <c r="L412" s="12"/>
      <c r="M412" s="12"/>
      <c r="N412" s="12"/>
      <c r="O412" s="12"/>
    </row>
    <row r="413" spans="1:15">
      <c r="A413" s="3"/>
      <c r="B413" s="3"/>
      <c r="H413" s="11"/>
      <c r="I413" s="11"/>
      <c r="J413" s="11"/>
      <c r="K413" s="11"/>
      <c r="L413" s="12"/>
      <c r="M413" s="12"/>
      <c r="N413" s="12"/>
      <c r="O413" s="12"/>
    </row>
    <row r="414" spans="1:15">
      <c r="A414" s="3"/>
      <c r="B414" s="3"/>
      <c r="H414" s="11"/>
      <c r="I414" s="11"/>
      <c r="J414" s="11"/>
      <c r="K414" s="11"/>
      <c r="L414" s="12"/>
      <c r="M414" s="12"/>
      <c r="N414" s="12"/>
      <c r="O414" s="12"/>
    </row>
    <row r="415" spans="1:15">
      <c r="A415" s="3"/>
      <c r="B415" s="3"/>
      <c r="H415" s="11"/>
      <c r="I415" s="11"/>
      <c r="J415" s="11"/>
      <c r="K415" s="11"/>
      <c r="L415" s="12"/>
      <c r="M415" s="12"/>
      <c r="N415" s="12"/>
      <c r="O415" s="12"/>
    </row>
    <row r="416" spans="1:15">
      <c r="A416" s="3"/>
      <c r="B416" s="3"/>
      <c r="H416" s="11"/>
      <c r="I416" s="11"/>
      <c r="J416" s="11"/>
      <c r="K416" s="11"/>
      <c r="L416" s="12"/>
      <c r="M416" s="12"/>
      <c r="N416" s="12"/>
      <c r="O416" s="12"/>
    </row>
    <row r="417" spans="1:15">
      <c r="A417" s="3"/>
      <c r="B417" s="3"/>
      <c r="H417" s="11"/>
      <c r="I417" s="11"/>
      <c r="J417" s="11"/>
      <c r="K417" s="11"/>
      <c r="L417" s="12"/>
      <c r="M417" s="12"/>
      <c r="N417" s="12"/>
      <c r="O417" s="12"/>
    </row>
    <row r="418" spans="1:15">
      <c r="A418" s="3"/>
      <c r="B418" s="3"/>
      <c r="H418" s="11"/>
      <c r="I418" s="11"/>
      <c r="J418" s="11"/>
      <c r="K418" s="11"/>
      <c r="L418" s="12"/>
      <c r="M418" s="12"/>
      <c r="N418" s="12"/>
      <c r="O418" s="12"/>
    </row>
    <row r="419" spans="1:15">
      <c r="A419" s="3"/>
      <c r="B419" s="3"/>
      <c r="H419" s="11"/>
      <c r="I419" s="11"/>
      <c r="J419" s="11"/>
      <c r="K419" s="11"/>
      <c r="L419" s="12"/>
      <c r="M419" s="12"/>
      <c r="N419" s="12"/>
      <c r="O419" s="12"/>
    </row>
    <row r="420" spans="1:15">
      <c r="A420" s="3"/>
      <c r="B420" s="3"/>
      <c r="H420" s="11"/>
      <c r="I420" s="11"/>
      <c r="J420" s="11"/>
      <c r="K420" s="11"/>
      <c r="L420" s="12"/>
      <c r="M420" s="12"/>
      <c r="N420" s="12"/>
      <c r="O420" s="12"/>
    </row>
    <row r="421" spans="1:15">
      <c r="A421" s="3"/>
      <c r="B421" s="3"/>
      <c r="H421" s="11"/>
      <c r="I421" s="11"/>
      <c r="J421" s="11"/>
      <c r="K421" s="11"/>
      <c r="L421" s="12"/>
      <c r="M421" s="12"/>
      <c r="N421" s="12"/>
      <c r="O421" s="12"/>
    </row>
    <row r="422" spans="1:15">
      <c r="A422" s="3"/>
      <c r="B422" s="3"/>
      <c r="H422" s="11"/>
      <c r="I422" s="11"/>
      <c r="J422" s="11"/>
      <c r="K422" s="11"/>
      <c r="L422" s="12"/>
      <c r="M422" s="12"/>
      <c r="N422" s="12"/>
      <c r="O422" s="12"/>
    </row>
    <row r="423" spans="1:15">
      <c r="A423" s="3"/>
      <c r="B423" s="3"/>
      <c r="H423" s="11"/>
      <c r="I423" s="11"/>
      <c r="J423" s="11"/>
      <c r="K423" s="11"/>
      <c r="L423" s="12"/>
      <c r="M423" s="12"/>
      <c r="N423" s="12"/>
      <c r="O423" s="12"/>
    </row>
    <row r="424" spans="1:15">
      <c r="A424" s="3"/>
      <c r="B424" s="3"/>
      <c r="H424" s="11"/>
      <c r="I424" s="11"/>
      <c r="J424" s="11"/>
      <c r="K424" s="11"/>
      <c r="L424" s="12"/>
      <c r="M424" s="12"/>
      <c r="N424" s="12"/>
      <c r="O424" s="12"/>
    </row>
    <row r="425" spans="1:15">
      <c r="A425" s="3"/>
      <c r="B425" s="3"/>
      <c r="H425" s="11"/>
      <c r="I425" s="11"/>
      <c r="J425" s="11"/>
      <c r="K425" s="11"/>
      <c r="L425" s="12"/>
      <c r="M425" s="12"/>
      <c r="N425" s="12"/>
      <c r="O425" s="12"/>
    </row>
    <row r="426" spans="1:15">
      <c r="A426" s="3"/>
      <c r="B426" s="3"/>
      <c r="H426" s="11"/>
      <c r="I426" s="11"/>
      <c r="J426" s="11"/>
      <c r="K426" s="11"/>
      <c r="L426" s="12"/>
      <c r="M426" s="12"/>
      <c r="N426" s="12"/>
      <c r="O426" s="12"/>
    </row>
    <row r="427" spans="1:15">
      <c r="A427" s="3"/>
      <c r="B427" s="3"/>
      <c r="H427" s="11"/>
      <c r="I427" s="11"/>
      <c r="J427" s="11"/>
      <c r="K427" s="11"/>
      <c r="L427" s="12"/>
      <c r="M427" s="12"/>
      <c r="N427" s="12"/>
      <c r="O427" s="12"/>
    </row>
    <row r="428" spans="1:15">
      <c r="A428" s="3"/>
      <c r="B428" s="3"/>
      <c r="H428" s="11"/>
      <c r="I428" s="11"/>
      <c r="J428" s="11"/>
      <c r="K428" s="11"/>
      <c r="L428" s="12"/>
      <c r="M428" s="12"/>
      <c r="N428" s="12"/>
      <c r="O428" s="12"/>
    </row>
    <row r="429" spans="1:15">
      <c r="A429" s="3"/>
      <c r="B429" s="3"/>
      <c r="H429" s="11"/>
      <c r="I429" s="11"/>
      <c r="J429" s="11"/>
      <c r="K429" s="11"/>
      <c r="L429" s="12"/>
      <c r="M429" s="12"/>
      <c r="N429" s="12"/>
      <c r="O429" s="12"/>
    </row>
    <row r="430" spans="1:15">
      <c r="A430" s="3"/>
      <c r="B430" s="3"/>
      <c r="H430" s="11"/>
      <c r="I430" s="11"/>
      <c r="J430" s="11"/>
      <c r="K430" s="11"/>
      <c r="L430" s="12"/>
      <c r="M430" s="12"/>
      <c r="N430" s="12"/>
      <c r="O430" s="12"/>
    </row>
    <row r="431" spans="1:15">
      <c r="A431" s="3"/>
      <c r="B431" s="3"/>
      <c r="H431" s="11"/>
      <c r="I431" s="11"/>
      <c r="J431" s="11"/>
      <c r="K431" s="11"/>
      <c r="L431" s="12"/>
      <c r="M431" s="12"/>
      <c r="N431" s="12"/>
      <c r="O431" s="12"/>
    </row>
    <row r="432" spans="1:15">
      <c r="A432" s="3"/>
      <c r="B432" s="3"/>
      <c r="H432" s="11"/>
      <c r="I432" s="11"/>
      <c r="J432" s="11"/>
      <c r="K432" s="11"/>
      <c r="L432" s="12"/>
      <c r="M432" s="12"/>
      <c r="N432" s="12"/>
      <c r="O432" s="12"/>
    </row>
    <row r="433" spans="1:15">
      <c r="A433" s="3"/>
      <c r="B433" s="3"/>
      <c r="H433" s="11"/>
      <c r="I433" s="11"/>
      <c r="J433" s="11"/>
      <c r="K433" s="11"/>
      <c r="L433" s="12"/>
      <c r="M433" s="12"/>
      <c r="N433" s="12"/>
      <c r="O433" s="12"/>
    </row>
    <row r="434" spans="1:15">
      <c r="A434" s="3"/>
      <c r="B434" s="3"/>
      <c r="H434" s="11"/>
      <c r="I434" s="11"/>
      <c r="J434" s="11"/>
      <c r="K434" s="11"/>
      <c r="L434" s="12"/>
      <c r="M434" s="12"/>
      <c r="N434" s="12"/>
      <c r="O434" s="12"/>
    </row>
    <row r="435" spans="1:15">
      <c r="A435" s="3"/>
      <c r="B435" s="3"/>
      <c r="H435" s="11"/>
      <c r="I435" s="11"/>
      <c r="J435" s="11"/>
      <c r="K435" s="11"/>
      <c r="L435" s="12"/>
      <c r="M435" s="12"/>
      <c r="N435" s="12"/>
      <c r="O435" s="12"/>
    </row>
    <row r="436" spans="1:15">
      <c r="A436" s="3"/>
      <c r="B436" s="3"/>
      <c r="H436" s="11"/>
      <c r="I436" s="11"/>
      <c r="J436" s="11"/>
      <c r="K436" s="11"/>
      <c r="L436" s="12"/>
      <c r="M436" s="12"/>
      <c r="N436" s="12"/>
      <c r="O436" s="12"/>
    </row>
    <row r="437" spans="1:15">
      <c r="A437" s="3"/>
      <c r="B437" s="3"/>
      <c r="H437" s="11"/>
      <c r="I437" s="11"/>
      <c r="J437" s="11"/>
      <c r="K437" s="11"/>
      <c r="L437" s="12"/>
      <c r="M437" s="12"/>
      <c r="N437" s="12"/>
      <c r="O437" s="12"/>
    </row>
    <row r="438" spans="1:15">
      <c r="A438" s="3"/>
      <c r="B438" s="3"/>
      <c r="H438" s="11"/>
      <c r="I438" s="11"/>
      <c r="J438" s="11"/>
      <c r="K438" s="11"/>
      <c r="L438" s="12"/>
      <c r="M438" s="12"/>
      <c r="N438" s="12"/>
      <c r="O438" s="12"/>
    </row>
    <row r="439" spans="1:15">
      <c r="A439" s="3"/>
      <c r="B439" s="3"/>
      <c r="H439" s="11"/>
      <c r="I439" s="11"/>
      <c r="J439" s="11"/>
      <c r="K439" s="11"/>
      <c r="L439" s="12"/>
      <c r="M439" s="12"/>
      <c r="N439" s="12"/>
      <c r="O439" s="12"/>
    </row>
    <row r="440" spans="1:15">
      <c r="A440" s="3"/>
      <c r="B440" s="3"/>
      <c r="H440" s="11"/>
      <c r="I440" s="11"/>
      <c r="J440" s="11"/>
      <c r="K440" s="11"/>
      <c r="L440" s="12"/>
      <c r="M440" s="12"/>
      <c r="N440" s="12"/>
      <c r="O440" s="12"/>
    </row>
    <row r="441" spans="1:15">
      <c r="A441" s="3"/>
      <c r="B441" s="3"/>
      <c r="H441" s="11"/>
      <c r="I441" s="11"/>
      <c r="J441" s="11"/>
      <c r="K441" s="11"/>
      <c r="L441" s="12"/>
      <c r="M441" s="12"/>
      <c r="N441" s="12"/>
      <c r="O441" s="12"/>
    </row>
    <row r="442" spans="1:15">
      <c r="A442" s="3"/>
      <c r="B442" s="3"/>
      <c r="H442" s="11"/>
      <c r="I442" s="11"/>
      <c r="J442" s="11"/>
      <c r="K442" s="11"/>
      <c r="L442" s="12"/>
      <c r="M442" s="12"/>
      <c r="N442" s="12"/>
      <c r="O442" s="12"/>
    </row>
    <row r="443" spans="1:15">
      <c r="A443" s="3"/>
      <c r="B443" s="3"/>
      <c r="H443" s="11"/>
      <c r="I443" s="11"/>
      <c r="J443" s="11"/>
      <c r="K443" s="11"/>
      <c r="L443" s="12"/>
      <c r="M443" s="12"/>
      <c r="N443" s="12"/>
      <c r="O443" s="12"/>
    </row>
    <row r="444" spans="1:15">
      <c r="A444" s="3"/>
      <c r="B444" s="3"/>
      <c r="H444" s="11"/>
      <c r="I444" s="11"/>
      <c r="J444" s="11"/>
      <c r="K444" s="11"/>
      <c r="L444" s="12"/>
      <c r="M444" s="12"/>
      <c r="N444" s="12"/>
      <c r="O444" s="12"/>
    </row>
    <row r="445" spans="1:15">
      <c r="A445" s="3"/>
      <c r="B445" s="3"/>
      <c r="H445" s="11"/>
      <c r="I445" s="11"/>
      <c r="J445" s="11"/>
      <c r="K445" s="11"/>
      <c r="L445" s="12"/>
      <c r="M445" s="12"/>
      <c r="N445" s="12"/>
      <c r="O445" s="12"/>
    </row>
    <row r="446" spans="1:15">
      <c r="A446" s="3"/>
      <c r="B446" s="3"/>
      <c r="H446" s="11"/>
      <c r="I446" s="11"/>
      <c r="J446" s="11"/>
      <c r="K446" s="11"/>
      <c r="L446" s="12"/>
      <c r="M446" s="12"/>
      <c r="N446" s="12"/>
      <c r="O446" s="12"/>
    </row>
    <row r="447" spans="1:15">
      <c r="A447" s="3"/>
      <c r="B447" s="3"/>
      <c r="H447" s="11"/>
      <c r="I447" s="11"/>
      <c r="J447" s="11"/>
      <c r="K447" s="11"/>
      <c r="L447" s="12"/>
      <c r="M447" s="12"/>
      <c r="N447" s="12"/>
      <c r="O447" s="12"/>
    </row>
    <row r="448" spans="1:15">
      <c r="A448" s="3"/>
      <c r="B448" s="3"/>
      <c r="H448" s="11"/>
      <c r="I448" s="11"/>
      <c r="J448" s="11"/>
      <c r="K448" s="11"/>
      <c r="L448" s="12"/>
      <c r="M448" s="12"/>
      <c r="N448" s="12"/>
      <c r="O448" s="12"/>
    </row>
    <row r="449" spans="1:15">
      <c r="A449" s="3"/>
      <c r="B449" s="3"/>
      <c r="H449" s="11"/>
      <c r="I449" s="11"/>
      <c r="J449" s="11"/>
      <c r="K449" s="11"/>
      <c r="L449" s="12"/>
      <c r="M449" s="12"/>
      <c r="N449" s="12"/>
      <c r="O449" s="12"/>
    </row>
    <row r="450" spans="1:15">
      <c r="A450" s="3"/>
      <c r="B450" s="3"/>
      <c r="H450" s="11"/>
      <c r="I450" s="11"/>
      <c r="J450" s="11"/>
      <c r="K450" s="11"/>
      <c r="L450" s="12"/>
      <c r="M450" s="12"/>
      <c r="N450" s="12"/>
      <c r="O450" s="12"/>
    </row>
    <row r="451" spans="1:15">
      <c r="A451" s="3"/>
      <c r="B451" s="3"/>
      <c r="H451" s="11"/>
      <c r="I451" s="11"/>
      <c r="J451" s="11"/>
      <c r="K451" s="11"/>
      <c r="L451" s="12"/>
      <c r="M451" s="12"/>
      <c r="N451" s="12"/>
      <c r="O451" s="12"/>
    </row>
    <row r="452" spans="1:15">
      <c r="A452" s="3"/>
      <c r="B452" s="3"/>
      <c r="H452" s="11"/>
      <c r="I452" s="11"/>
      <c r="J452" s="11"/>
      <c r="K452" s="11"/>
      <c r="L452" s="12"/>
      <c r="M452" s="12"/>
      <c r="N452" s="12"/>
      <c r="O452" s="12"/>
    </row>
    <row r="453" spans="1:15">
      <c r="A453" s="3"/>
      <c r="B453" s="3"/>
      <c r="H453" s="11"/>
      <c r="I453" s="11"/>
      <c r="J453" s="11"/>
      <c r="K453" s="11"/>
      <c r="L453" s="12"/>
      <c r="M453" s="12"/>
      <c r="N453" s="12"/>
      <c r="O453" s="12"/>
    </row>
    <row r="454" spans="1:15">
      <c r="A454" s="3"/>
      <c r="B454" s="3"/>
      <c r="H454" s="11"/>
      <c r="I454" s="11"/>
      <c r="J454" s="11"/>
      <c r="K454" s="11"/>
      <c r="L454" s="12"/>
      <c r="M454" s="12"/>
      <c r="N454" s="12"/>
      <c r="O454" s="12"/>
    </row>
    <row r="455" spans="1:15">
      <c r="A455" s="3"/>
      <c r="B455" s="3"/>
      <c r="H455" s="11"/>
      <c r="I455" s="11"/>
      <c r="J455" s="11"/>
      <c r="K455" s="11"/>
      <c r="L455" s="12"/>
      <c r="M455" s="12"/>
      <c r="N455" s="12"/>
      <c r="O455" s="12"/>
    </row>
    <row r="456" spans="1:15">
      <c r="A456" s="3"/>
      <c r="B456" s="3"/>
      <c r="H456" s="11"/>
      <c r="I456" s="11"/>
      <c r="J456" s="11"/>
      <c r="K456" s="11"/>
      <c r="L456" s="12"/>
      <c r="M456" s="12"/>
      <c r="N456" s="12"/>
      <c r="O456" s="12"/>
    </row>
    <row r="457" spans="1:15">
      <c r="A457" s="3"/>
      <c r="B457" s="3"/>
      <c r="H457" s="11"/>
      <c r="I457" s="11"/>
      <c r="J457" s="11"/>
      <c r="K457" s="11"/>
      <c r="L457" s="12"/>
      <c r="M457" s="12"/>
      <c r="N457" s="12"/>
      <c r="O457" s="12"/>
    </row>
    <row r="458" spans="1:15">
      <c r="A458" s="3"/>
      <c r="B458" s="3"/>
      <c r="H458" s="11"/>
      <c r="I458" s="11"/>
      <c r="J458" s="11"/>
      <c r="K458" s="11"/>
      <c r="L458" s="12"/>
      <c r="M458" s="12"/>
      <c r="N458" s="12"/>
      <c r="O458" s="12"/>
    </row>
    <row r="459" spans="1:15">
      <c r="A459" s="3"/>
      <c r="B459" s="3"/>
      <c r="H459" s="11"/>
      <c r="I459" s="11"/>
      <c r="J459" s="11"/>
      <c r="K459" s="11"/>
      <c r="L459" s="12"/>
      <c r="M459" s="12"/>
      <c r="N459" s="12"/>
      <c r="O459" s="12"/>
    </row>
    <row r="460" spans="1:15">
      <c r="A460" s="3"/>
      <c r="B460" s="3"/>
      <c r="H460" s="11"/>
      <c r="I460" s="11"/>
      <c r="J460" s="11"/>
      <c r="K460" s="11"/>
      <c r="L460" s="12"/>
      <c r="M460" s="12"/>
      <c r="N460" s="12"/>
      <c r="O460" s="12"/>
    </row>
    <row r="461" spans="1:15">
      <c r="A461" s="3"/>
      <c r="B461" s="3"/>
      <c r="H461" s="11"/>
      <c r="I461" s="11"/>
      <c r="J461" s="11"/>
      <c r="K461" s="11"/>
      <c r="L461" s="12"/>
      <c r="M461" s="12"/>
      <c r="N461" s="12"/>
      <c r="O461" s="12"/>
    </row>
    <row r="462" spans="1:15">
      <c r="A462" s="3"/>
      <c r="B462" s="3"/>
      <c r="H462" s="11"/>
      <c r="I462" s="11"/>
      <c r="J462" s="11"/>
      <c r="K462" s="11"/>
      <c r="L462" s="12"/>
      <c r="M462" s="12"/>
      <c r="N462" s="12"/>
      <c r="O462" s="12"/>
    </row>
    <row r="463" spans="1:15">
      <c r="A463" s="3"/>
      <c r="B463" s="3"/>
      <c r="H463" s="11"/>
      <c r="I463" s="11"/>
      <c r="J463" s="11"/>
      <c r="K463" s="11"/>
      <c r="L463" s="12"/>
      <c r="M463" s="12"/>
      <c r="N463" s="12"/>
      <c r="O463" s="12"/>
    </row>
    <row r="464" spans="1:15">
      <c r="A464" s="3"/>
      <c r="B464" s="3"/>
      <c r="H464" s="11"/>
      <c r="I464" s="11"/>
      <c r="J464" s="11"/>
      <c r="K464" s="11"/>
      <c r="L464" s="12"/>
      <c r="M464" s="12"/>
      <c r="N464" s="12"/>
      <c r="O464" s="12"/>
    </row>
    <row r="465" spans="1:15">
      <c r="A465" s="3"/>
      <c r="B465" s="3"/>
      <c r="H465" s="11"/>
      <c r="I465" s="11"/>
      <c r="J465" s="11"/>
      <c r="K465" s="11"/>
      <c r="L465" s="12"/>
      <c r="M465" s="12"/>
      <c r="N465" s="12"/>
      <c r="O465" s="12"/>
    </row>
    <row r="466" spans="1:15">
      <c r="A466" s="3"/>
      <c r="B466" s="3"/>
      <c r="H466" s="11"/>
      <c r="I466" s="11"/>
      <c r="J466" s="11"/>
      <c r="K466" s="11"/>
      <c r="L466" s="12"/>
      <c r="M466" s="12"/>
      <c r="N466" s="12"/>
      <c r="O466" s="12"/>
    </row>
    <row r="467" spans="1:15">
      <c r="A467" s="3"/>
      <c r="B467" s="3"/>
      <c r="H467" s="11"/>
      <c r="I467" s="11"/>
      <c r="J467" s="11"/>
      <c r="K467" s="11"/>
      <c r="L467" s="12"/>
      <c r="M467" s="12"/>
      <c r="N467" s="12"/>
      <c r="O467" s="12"/>
    </row>
    <row r="468" spans="1:15">
      <c r="A468" s="3"/>
      <c r="B468" s="3"/>
      <c r="H468" s="11"/>
      <c r="I468" s="11"/>
      <c r="J468" s="11"/>
      <c r="K468" s="11"/>
      <c r="L468" s="12"/>
      <c r="M468" s="12"/>
      <c r="N468" s="12"/>
      <c r="O468" s="12"/>
    </row>
    <row r="469" spans="1:15">
      <c r="A469" s="3"/>
      <c r="B469" s="3"/>
      <c r="H469" s="11"/>
      <c r="I469" s="11"/>
      <c r="J469" s="11"/>
      <c r="K469" s="11"/>
      <c r="L469" s="12"/>
      <c r="M469" s="12"/>
      <c r="N469" s="12"/>
      <c r="O469" s="12"/>
    </row>
    <row r="470" spans="1:15">
      <c r="A470" s="3"/>
      <c r="B470" s="3"/>
      <c r="H470" s="11"/>
      <c r="I470" s="11"/>
      <c r="J470" s="11"/>
      <c r="K470" s="11"/>
      <c r="L470" s="12"/>
      <c r="M470" s="12"/>
      <c r="N470" s="12"/>
      <c r="O470" s="12"/>
    </row>
    <row r="471" spans="1:15">
      <c r="A471" s="3"/>
      <c r="B471" s="3"/>
      <c r="H471" s="11"/>
      <c r="I471" s="11"/>
      <c r="J471" s="11"/>
      <c r="K471" s="11"/>
      <c r="L471" s="12"/>
      <c r="M471" s="12"/>
      <c r="N471" s="12"/>
      <c r="O471" s="12"/>
    </row>
    <row r="472" spans="1:15">
      <c r="A472" s="3"/>
      <c r="B472" s="3"/>
      <c r="H472" s="11"/>
      <c r="I472" s="11"/>
      <c r="J472" s="11"/>
      <c r="K472" s="11"/>
      <c r="L472" s="12"/>
      <c r="M472" s="12"/>
      <c r="N472" s="12"/>
      <c r="O472" s="12"/>
    </row>
    <row r="473" spans="1:15">
      <c r="A473" s="3"/>
      <c r="B473" s="3"/>
      <c r="H473" s="11"/>
      <c r="I473" s="11"/>
      <c r="J473" s="11"/>
      <c r="K473" s="11"/>
      <c r="L473" s="12"/>
      <c r="M473" s="12"/>
      <c r="N473" s="12"/>
      <c r="O473" s="12"/>
    </row>
    <row r="474" spans="1:15">
      <c r="A474" s="3"/>
      <c r="B474" s="3"/>
      <c r="H474" s="11"/>
      <c r="I474" s="11"/>
      <c r="J474" s="11"/>
      <c r="K474" s="11"/>
      <c r="L474" s="12"/>
      <c r="M474" s="12"/>
      <c r="N474" s="12"/>
      <c r="O474" s="12"/>
    </row>
    <row r="475" spans="1:15">
      <c r="A475" s="3"/>
      <c r="B475" s="3"/>
      <c r="H475" s="11"/>
      <c r="I475" s="11"/>
      <c r="J475" s="11"/>
      <c r="K475" s="11"/>
      <c r="L475" s="12"/>
      <c r="M475" s="12"/>
      <c r="N475" s="12"/>
      <c r="O475" s="12"/>
    </row>
    <row r="476" spans="1:15">
      <c r="A476" s="3"/>
      <c r="B476" s="3"/>
      <c r="H476" s="11"/>
      <c r="I476" s="11"/>
      <c r="J476" s="11"/>
      <c r="K476" s="11"/>
      <c r="L476" s="12"/>
      <c r="M476" s="12"/>
      <c r="N476" s="12"/>
      <c r="O476" s="12"/>
    </row>
    <row r="477" spans="1:15">
      <c r="A477" s="3"/>
      <c r="B477" s="3"/>
      <c r="H477" s="11"/>
      <c r="I477" s="11"/>
      <c r="J477" s="11"/>
      <c r="K477" s="11"/>
      <c r="L477" s="12"/>
      <c r="M477" s="12"/>
      <c r="N477" s="12"/>
      <c r="O477" s="12"/>
    </row>
    <row r="478" spans="1:15">
      <c r="A478" s="3"/>
      <c r="B478" s="3"/>
      <c r="H478" s="11"/>
      <c r="I478" s="11"/>
      <c r="J478" s="11"/>
      <c r="K478" s="11"/>
      <c r="L478" s="12"/>
      <c r="M478" s="12"/>
      <c r="N478" s="12"/>
      <c r="O478" s="12"/>
    </row>
    <row r="479" spans="1:15">
      <c r="A479" s="3"/>
      <c r="B479" s="3"/>
      <c r="H479" s="11"/>
      <c r="I479" s="11"/>
      <c r="J479" s="11"/>
      <c r="K479" s="11"/>
      <c r="L479" s="12"/>
      <c r="M479" s="12"/>
      <c r="N479" s="12"/>
      <c r="O479" s="12"/>
    </row>
    <row r="480" spans="1:15">
      <c r="A480" s="3"/>
      <c r="B480" s="3"/>
      <c r="H480" s="11"/>
      <c r="I480" s="11"/>
      <c r="J480" s="11"/>
      <c r="K480" s="11"/>
      <c r="L480" s="12"/>
      <c r="M480" s="12"/>
      <c r="N480" s="12"/>
      <c r="O480" s="12"/>
    </row>
    <row r="481" spans="1:15">
      <c r="A481" s="3"/>
      <c r="B481" s="3"/>
      <c r="H481" s="11"/>
      <c r="I481" s="11"/>
      <c r="J481" s="11"/>
      <c r="K481" s="11"/>
      <c r="L481" s="12"/>
      <c r="M481" s="12"/>
      <c r="N481" s="12"/>
      <c r="O481" s="12"/>
    </row>
    <row r="482" spans="1:15">
      <c r="A482" s="3"/>
      <c r="B482" s="3"/>
      <c r="H482" s="11"/>
      <c r="I482" s="11"/>
      <c r="J482" s="11"/>
      <c r="K482" s="11"/>
      <c r="L482" s="12"/>
      <c r="M482" s="12"/>
      <c r="N482" s="12"/>
      <c r="O482" s="12"/>
    </row>
    <row r="483" spans="1:15">
      <c r="A483" s="3"/>
      <c r="B483" s="3"/>
      <c r="H483" s="11"/>
      <c r="I483" s="11"/>
      <c r="J483" s="11"/>
      <c r="K483" s="11"/>
      <c r="L483" s="12"/>
      <c r="M483" s="12"/>
      <c r="N483" s="12"/>
      <c r="O483" s="12"/>
    </row>
    <row r="484" spans="1:15">
      <c r="A484" s="3"/>
      <c r="B484" s="3"/>
      <c r="H484" s="11"/>
      <c r="I484" s="11"/>
      <c r="J484" s="11"/>
      <c r="K484" s="11"/>
      <c r="L484" s="12"/>
      <c r="M484" s="12"/>
      <c r="N484" s="12"/>
      <c r="O484" s="12"/>
    </row>
    <row r="485" spans="1:15">
      <c r="A485" s="3"/>
      <c r="B485" s="3"/>
      <c r="H485" s="11"/>
      <c r="I485" s="11"/>
      <c r="J485" s="11"/>
      <c r="K485" s="11"/>
      <c r="L485" s="12"/>
      <c r="M485" s="12"/>
      <c r="N485" s="12"/>
      <c r="O485" s="12"/>
    </row>
    <row r="486" spans="1:15">
      <c r="A486" s="3"/>
      <c r="B486" s="3"/>
      <c r="H486" s="11"/>
      <c r="I486" s="11"/>
      <c r="J486" s="11"/>
      <c r="K486" s="11"/>
      <c r="L486" s="12"/>
      <c r="M486" s="12"/>
      <c r="N486" s="12"/>
      <c r="O486" s="12"/>
    </row>
    <row r="487" spans="1:15">
      <c r="A487" s="3"/>
      <c r="B487" s="3"/>
      <c r="H487" s="11"/>
      <c r="I487" s="11"/>
      <c r="J487" s="11"/>
      <c r="K487" s="11"/>
      <c r="L487" s="12"/>
      <c r="M487" s="12"/>
      <c r="N487" s="12"/>
      <c r="O487" s="12"/>
    </row>
    <row r="488" spans="1:15">
      <c r="A488" s="3"/>
      <c r="B488" s="3"/>
      <c r="H488" s="11"/>
      <c r="I488" s="11"/>
      <c r="J488" s="11"/>
      <c r="K488" s="11"/>
      <c r="L488" s="12"/>
      <c r="M488" s="12"/>
      <c r="N488" s="12"/>
      <c r="O488" s="12"/>
    </row>
    <row r="489" spans="1:15">
      <c r="A489" s="3"/>
      <c r="B489" s="3"/>
      <c r="H489" s="11"/>
      <c r="I489" s="11"/>
      <c r="J489" s="11"/>
      <c r="K489" s="11"/>
      <c r="L489" s="12"/>
      <c r="M489" s="12"/>
      <c r="N489" s="12"/>
      <c r="O489" s="12"/>
    </row>
    <row r="490" spans="1:15">
      <c r="A490" s="3"/>
      <c r="B490" s="3"/>
      <c r="H490" s="11"/>
      <c r="I490" s="11"/>
      <c r="J490" s="11"/>
      <c r="K490" s="11"/>
      <c r="L490" s="12"/>
      <c r="M490" s="12"/>
      <c r="N490" s="12"/>
      <c r="O490" s="12"/>
    </row>
    <row r="491" spans="1:15">
      <c r="A491" s="3"/>
      <c r="B491" s="3"/>
      <c r="H491" s="11"/>
      <c r="I491" s="11"/>
      <c r="J491" s="11"/>
      <c r="K491" s="11"/>
      <c r="L491" s="12"/>
      <c r="M491" s="12"/>
      <c r="N491" s="12"/>
      <c r="O491" s="12"/>
    </row>
    <row r="492" spans="1:15">
      <c r="A492" s="3"/>
      <c r="B492" s="3"/>
      <c r="H492" s="11"/>
      <c r="I492" s="11"/>
      <c r="J492" s="11"/>
      <c r="K492" s="11"/>
      <c r="L492" s="12"/>
      <c r="M492" s="12"/>
      <c r="N492" s="12"/>
      <c r="O492" s="12"/>
    </row>
    <row r="493" spans="1:15">
      <c r="A493" s="3"/>
      <c r="B493" s="3"/>
      <c r="H493" s="11"/>
      <c r="I493" s="11"/>
      <c r="J493" s="11"/>
      <c r="K493" s="11"/>
      <c r="L493" s="12"/>
      <c r="M493" s="12"/>
      <c r="N493" s="12"/>
      <c r="O493" s="12"/>
    </row>
    <row r="494" spans="1:15">
      <c r="A494" s="3"/>
      <c r="B494" s="3"/>
      <c r="H494" s="11"/>
      <c r="I494" s="11"/>
      <c r="J494" s="11"/>
      <c r="K494" s="11"/>
      <c r="L494" s="12"/>
      <c r="M494" s="12"/>
      <c r="N494" s="12"/>
      <c r="O494" s="12"/>
    </row>
    <row r="495" spans="1:15">
      <c r="A495" s="3"/>
      <c r="B495" s="3"/>
      <c r="H495" s="11"/>
      <c r="I495" s="11"/>
      <c r="J495" s="11"/>
      <c r="K495" s="11"/>
      <c r="L495" s="12"/>
      <c r="M495" s="12"/>
      <c r="N495" s="12"/>
      <c r="O495" s="12"/>
    </row>
    <row r="496" spans="1:15">
      <c r="A496" s="3"/>
      <c r="B496" s="3"/>
      <c r="H496" s="11"/>
      <c r="I496" s="11"/>
      <c r="J496" s="11"/>
      <c r="K496" s="11"/>
      <c r="L496" s="12"/>
      <c r="M496" s="12"/>
      <c r="N496" s="12"/>
      <c r="O496" s="12"/>
    </row>
    <row r="497" spans="1:15">
      <c r="A497" s="3"/>
      <c r="B497" s="3"/>
      <c r="H497" s="11"/>
      <c r="I497" s="11"/>
      <c r="J497" s="11"/>
      <c r="K497" s="11"/>
      <c r="L497" s="12"/>
      <c r="M497" s="12"/>
      <c r="N497" s="12"/>
      <c r="O497" s="12"/>
    </row>
    <row r="498" spans="1:15">
      <c r="A498" s="3"/>
      <c r="B498" s="3"/>
      <c r="H498" s="11"/>
      <c r="I498" s="11"/>
      <c r="J498" s="11"/>
      <c r="K498" s="11"/>
      <c r="L498" s="12"/>
      <c r="M498" s="12"/>
      <c r="N498" s="12"/>
      <c r="O498" s="12"/>
    </row>
    <row r="499" spans="1:15">
      <c r="A499" s="3"/>
      <c r="B499" s="3"/>
      <c r="H499" s="11"/>
      <c r="I499" s="11"/>
      <c r="J499" s="11"/>
      <c r="K499" s="11"/>
      <c r="L499" s="12"/>
      <c r="M499" s="12"/>
      <c r="N499" s="12"/>
      <c r="O499" s="12"/>
    </row>
    <row r="500" spans="1:15">
      <c r="A500" s="3"/>
      <c r="B500" s="3"/>
      <c r="H500" s="11"/>
      <c r="I500" s="11"/>
      <c r="J500" s="11"/>
      <c r="K500" s="11"/>
      <c r="L500" s="12"/>
      <c r="M500" s="12"/>
      <c r="N500" s="12"/>
      <c r="O500" s="12"/>
    </row>
    <row r="501" spans="1:15">
      <c r="A501" s="3"/>
      <c r="B501" s="3"/>
      <c r="H501" s="11"/>
      <c r="I501" s="11"/>
      <c r="J501" s="11"/>
      <c r="K501" s="11"/>
      <c r="L501" s="12"/>
      <c r="M501" s="12"/>
      <c r="N501" s="12"/>
      <c r="O501" s="12"/>
    </row>
    <row r="502" spans="1:15">
      <c r="A502" s="3"/>
      <c r="B502" s="3"/>
      <c r="H502" s="11"/>
      <c r="I502" s="11"/>
      <c r="J502" s="11"/>
      <c r="K502" s="11"/>
      <c r="L502" s="12"/>
      <c r="M502" s="12"/>
      <c r="N502" s="12"/>
      <c r="O502" s="12"/>
    </row>
    <row r="503" spans="1:15">
      <c r="A503" s="3"/>
      <c r="B503" s="3"/>
      <c r="H503" s="11"/>
      <c r="I503" s="11"/>
      <c r="J503" s="11"/>
      <c r="K503" s="11"/>
      <c r="L503" s="12"/>
      <c r="M503" s="12"/>
      <c r="N503" s="12"/>
      <c r="O503" s="12"/>
    </row>
    <row r="504" spans="1:15">
      <c r="A504" s="3"/>
      <c r="B504" s="3"/>
      <c r="H504" s="11"/>
      <c r="I504" s="11"/>
      <c r="J504" s="11"/>
      <c r="K504" s="11"/>
      <c r="L504" s="12"/>
      <c r="M504" s="12"/>
      <c r="N504" s="12"/>
      <c r="O504" s="12"/>
    </row>
    <row r="505" spans="1:15">
      <c r="A505" s="3"/>
      <c r="B505" s="3"/>
      <c r="H505" s="11"/>
      <c r="I505" s="11"/>
      <c r="J505" s="11"/>
      <c r="K505" s="11"/>
      <c r="L505" s="12"/>
      <c r="M505" s="12"/>
      <c r="N505" s="12"/>
      <c r="O505" s="12"/>
    </row>
    <row r="506" spans="1:15">
      <c r="A506" s="3"/>
      <c r="B506" s="3"/>
      <c r="H506" s="11"/>
      <c r="I506" s="11"/>
      <c r="J506" s="11"/>
      <c r="K506" s="11"/>
      <c r="L506" s="12"/>
      <c r="M506" s="12"/>
      <c r="N506" s="12"/>
      <c r="O506" s="12"/>
    </row>
    <row r="507" spans="1:15">
      <c r="A507" s="3"/>
      <c r="B507" s="3"/>
      <c r="H507" s="11"/>
      <c r="I507" s="11"/>
      <c r="J507" s="11"/>
      <c r="K507" s="11"/>
      <c r="L507" s="12"/>
      <c r="M507" s="12"/>
      <c r="N507" s="12"/>
      <c r="O507" s="12"/>
    </row>
    <row r="508" spans="1:15">
      <c r="A508" s="3"/>
      <c r="B508" s="3"/>
      <c r="H508" s="11"/>
      <c r="I508" s="11"/>
      <c r="J508" s="11"/>
      <c r="K508" s="11"/>
      <c r="L508" s="12"/>
      <c r="M508" s="12"/>
      <c r="N508" s="12"/>
      <c r="O508" s="12"/>
    </row>
    <row r="509" spans="1:15">
      <c r="A509" s="3"/>
      <c r="B509" s="3"/>
      <c r="H509" s="11"/>
      <c r="I509" s="11"/>
      <c r="J509" s="11"/>
      <c r="K509" s="11"/>
      <c r="L509" s="12"/>
      <c r="M509" s="12"/>
      <c r="N509" s="12"/>
      <c r="O509" s="12"/>
    </row>
    <row r="510" spans="1:15">
      <c r="A510" s="3"/>
      <c r="B510" s="3"/>
      <c r="H510" s="11"/>
      <c r="I510" s="11"/>
      <c r="J510" s="11"/>
      <c r="K510" s="11"/>
      <c r="L510" s="12"/>
      <c r="M510" s="12"/>
      <c r="N510" s="12"/>
      <c r="O510" s="12"/>
    </row>
    <row r="511" spans="1:15">
      <c r="A511" s="3"/>
      <c r="B511" s="3"/>
      <c r="H511" s="11"/>
      <c r="I511" s="11"/>
      <c r="J511" s="11"/>
      <c r="K511" s="11"/>
      <c r="L511" s="12"/>
      <c r="M511" s="12"/>
      <c r="N511" s="12"/>
      <c r="O511" s="12"/>
    </row>
    <row r="512" spans="1:15">
      <c r="A512" s="3"/>
      <c r="B512" s="3"/>
      <c r="H512" s="11"/>
      <c r="I512" s="11"/>
      <c r="J512" s="11"/>
      <c r="K512" s="11"/>
      <c r="L512" s="12"/>
      <c r="M512" s="12"/>
      <c r="N512" s="12"/>
      <c r="O512" s="12"/>
    </row>
    <row r="513" spans="1:15">
      <c r="A513" s="3"/>
      <c r="B513" s="3"/>
      <c r="H513" s="11"/>
      <c r="I513" s="11"/>
      <c r="J513" s="11"/>
      <c r="K513" s="11"/>
      <c r="L513" s="12"/>
      <c r="M513" s="12"/>
      <c r="N513" s="12"/>
      <c r="O513" s="12"/>
    </row>
    <row r="514" spans="1:15">
      <c r="A514" s="3"/>
      <c r="B514" s="3"/>
      <c r="H514" s="11"/>
      <c r="I514" s="11"/>
      <c r="J514" s="11"/>
      <c r="K514" s="11"/>
      <c r="L514" s="12"/>
      <c r="M514" s="12"/>
      <c r="N514" s="12"/>
      <c r="O514" s="12"/>
    </row>
    <row r="515" spans="1:15">
      <c r="A515" s="3"/>
      <c r="B515" s="3"/>
      <c r="H515" s="11"/>
      <c r="I515" s="11"/>
      <c r="J515" s="11"/>
      <c r="K515" s="11"/>
      <c r="L515" s="12"/>
      <c r="M515" s="12"/>
      <c r="N515" s="12"/>
      <c r="O515" s="12"/>
    </row>
    <row r="516" spans="1:15">
      <c r="A516" s="3"/>
      <c r="B516" s="3"/>
      <c r="H516" s="11"/>
      <c r="I516" s="11"/>
      <c r="J516" s="11"/>
      <c r="K516" s="11"/>
      <c r="L516" s="12"/>
      <c r="M516" s="12"/>
      <c r="N516" s="12"/>
      <c r="O516" s="12"/>
    </row>
    <row r="517" spans="1:15">
      <c r="A517" s="3"/>
      <c r="B517" s="3"/>
      <c r="H517" s="11"/>
      <c r="I517" s="11"/>
      <c r="J517" s="11"/>
      <c r="K517" s="11"/>
      <c r="L517" s="12"/>
      <c r="M517" s="12"/>
      <c r="N517" s="12"/>
      <c r="O517" s="12"/>
    </row>
    <row r="518" spans="1:15">
      <c r="A518" s="3"/>
      <c r="B518" s="3"/>
      <c r="H518" s="11"/>
      <c r="I518" s="11"/>
      <c r="J518" s="11"/>
      <c r="K518" s="11"/>
      <c r="L518" s="12"/>
      <c r="M518" s="12"/>
      <c r="N518" s="12"/>
      <c r="O518" s="12"/>
    </row>
    <row r="519" spans="1:15">
      <c r="A519" s="3"/>
      <c r="B519" s="3"/>
      <c r="H519" s="11"/>
      <c r="I519" s="11"/>
      <c r="J519" s="11"/>
      <c r="K519" s="11"/>
      <c r="L519" s="12"/>
      <c r="M519" s="12"/>
      <c r="N519" s="12"/>
      <c r="O519" s="12"/>
    </row>
    <row r="520" spans="1:15">
      <c r="A520" s="3"/>
      <c r="B520" s="3"/>
      <c r="H520" s="11"/>
      <c r="I520" s="11"/>
      <c r="J520" s="11"/>
      <c r="K520" s="11"/>
      <c r="L520" s="12"/>
      <c r="M520" s="12"/>
      <c r="N520" s="12"/>
      <c r="O520" s="12"/>
    </row>
    <row r="521" spans="1:15">
      <c r="A521" s="3"/>
      <c r="B521" s="3"/>
      <c r="H521" s="11"/>
      <c r="I521" s="11"/>
      <c r="J521" s="11"/>
      <c r="K521" s="11"/>
      <c r="L521" s="12"/>
      <c r="M521" s="12"/>
      <c r="N521" s="12"/>
      <c r="O521" s="12"/>
    </row>
    <row r="522" spans="1:15">
      <c r="A522" s="3"/>
      <c r="B522" s="3"/>
      <c r="H522" s="11"/>
      <c r="I522" s="11"/>
      <c r="J522" s="11"/>
      <c r="K522" s="11"/>
      <c r="L522" s="12"/>
      <c r="M522" s="12"/>
      <c r="N522" s="12"/>
      <c r="O522" s="12"/>
    </row>
    <row r="523" spans="1:15">
      <c r="A523" s="3"/>
      <c r="B523" s="3"/>
      <c r="H523" s="11"/>
      <c r="I523" s="11"/>
      <c r="J523" s="11"/>
      <c r="K523" s="11"/>
      <c r="L523" s="12"/>
      <c r="M523" s="12"/>
      <c r="N523" s="12"/>
      <c r="O523" s="12"/>
    </row>
    <row r="524" spans="1:15">
      <c r="A524" s="3"/>
      <c r="B524" s="3"/>
      <c r="H524" s="11"/>
      <c r="I524" s="11"/>
      <c r="J524" s="11"/>
      <c r="K524" s="11"/>
      <c r="L524" s="12"/>
      <c r="M524" s="12"/>
      <c r="N524" s="12"/>
      <c r="O524" s="12"/>
    </row>
    <row r="525" spans="1:15">
      <c r="A525" s="3"/>
      <c r="B525" s="3"/>
      <c r="H525" s="11"/>
      <c r="I525" s="11"/>
      <c r="J525" s="11"/>
      <c r="K525" s="11"/>
      <c r="L525" s="12"/>
      <c r="M525" s="12"/>
      <c r="N525" s="12"/>
      <c r="O525" s="12"/>
    </row>
    <row r="526" spans="1:15">
      <c r="A526" s="3"/>
      <c r="B526" s="3"/>
      <c r="H526" s="11"/>
      <c r="I526" s="11"/>
      <c r="J526" s="11"/>
      <c r="K526" s="11"/>
      <c r="L526" s="12"/>
      <c r="M526" s="12"/>
      <c r="N526" s="12"/>
      <c r="O526" s="12"/>
    </row>
    <row r="527" spans="1:15">
      <c r="A527" s="3"/>
      <c r="B527" s="3"/>
      <c r="H527" s="11"/>
      <c r="I527" s="11"/>
      <c r="J527" s="11"/>
      <c r="K527" s="11"/>
      <c r="L527" s="12"/>
      <c r="M527" s="12"/>
      <c r="N527" s="12"/>
      <c r="O527" s="12"/>
    </row>
    <row r="528" spans="1:15">
      <c r="A528" s="3"/>
      <c r="B528" s="3"/>
      <c r="H528" s="11"/>
      <c r="I528" s="11"/>
      <c r="J528" s="11"/>
      <c r="K528" s="11"/>
      <c r="L528" s="12"/>
      <c r="M528" s="12"/>
      <c r="N528" s="12"/>
      <c r="O528" s="12"/>
    </row>
    <row r="529" spans="1:15">
      <c r="A529" s="3"/>
      <c r="B529" s="3"/>
      <c r="H529" s="11"/>
      <c r="I529" s="11"/>
      <c r="J529" s="11"/>
      <c r="K529" s="11"/>
      <c r="L529" s="12"/>
      <c r="M529" s="12"/>
      <c r="N529" s="12"/>
      <c r="O529" s="12"/>
    </row>
    <row r="530" spans="1:15">
      <c r="A530" s="3"/>
      <c r="B530" s="3"/>
      <c r="H530" s="11"/>
      <c r="I530" s="11"/>
      <c r="J530" s="11"/>
      <c r="K530" s="11"/>
      <c r="L530" s="12"/>
      <c r="M530" s="12"/>
      <c r="N530" s="12"/>
      <c r="O530" s="12"/>
    </row>
    <row r="531" spans="1:15">
      <c r="A531" s="3"/>
      <c r="B531" s="3"/>
      <c r="H531" s="11"/>
      <c r="I531" s="11"/>
      <c r="J531" s="11"/>
      <c r="K531" s="11"/>
      <c r="L531" s="12"/>
      <c r="M531" s="12"/>
      <c r="N531" s="12"/>
      <c r="O531" s="12"/>
    </row>
    <row r="532" spans="1:15">
      <c r="A532" s="3"/>
      <c r="B532" s="3"/>
      <c r="H532" s="11"/>
      <c r="I532" s="11"/>
      <c r="J532" s="11"/>
      <c r="K532" s="11"/>
      <c r="L532" s="12"/>
      <c r="M532" s="12"/>
      <c r="N532" s="12"/>
      <c r="O532" s="12"/>
    </row>
    <row r="533" spans="1:15">
      <c r="A533" s="3"/>
      <c r="B533" s="3"/>
      <c r="H533" s="11"/>
      <c r="I533" s="11"/>
      <c r="J533" s="11"/>
      <c r="K533" s="11"/>
      <c r="L533" s="12"/>
      <c r="M533" s="12"/>
      <c r="N533" s="12"/>
      <c r="O533" s="12"/>
    </row>
    <row r="534" spans="1:15">
      <c r="A534" s="3"/>
      <c r="B534" s="3"/>
      <c r="H534" s="11"/>
      <c r="I534" s="11"/>
      <c r="J534" s="11"/>
      <c r="K534" s="11"/>
      <c r="L534" s="12"/>
      <c r="M534" s="12"/>
      <c r="N534" s="12"/>
      <c r="O534" s="12"/>
    </row>
    <row r="535" spans="1:15">
      <c r="A535" s="3"/>
      <c r="B535" s="3"/>
      <c r="H535" s="11"/>
      <c r="I535" s="11"/>
      <c r="J535" s="11"/>
      <c r="K535" s="11"/>
      <c r="L535" s="12"/>
      <c r="M535" s="12"/>
      <c r="N535" s="12"/>
      <c r="O535" s="12"/>
    </row>
    <row r="536" spans="1:15">
      <c r="A536" s="3"/>
      <c r="B536" s="3"/>
      <c r="H536" s="11"/>
      <c r="I536" s="11"/>
      <c r="J536" s="11"/>
      <c r="K536" s="11"/>
      <c r="L536" s="12"/>
      <c r="M536" s="12"/>
      <c r="N536" s="12"/>
      <c r="O536" s="12"/>
    </row>
    <row r="537" spans="1:15">
      <c r="A537" s="3"/>
      <c r="B537" s="3"/>
      <c r="H537" s="11"/>
      <c r="I537" s="11"/>
      <c r="J537" s="11"/>
      <c r="K537" s="11"/>
      <c r="L537" s="12"/>
      <c r="M537" s="12"/>
      <c r="N537" s="12"/>
      <c r="O537" s="12"/>
    </row>
    <row r="538" spans="1:15">
      <c r="A538" s="3"/>
      <c r="B538" s="3"/>
      <c r="H538" s="11"/>
      <c r="I538" s="11"/>
      <c r="J538" s="11"/>
      <c r="K538" s="11"/>
      <c r="L538" s="12"/>
      <c r="M538" s="12"/>
      <c r="N538" s="12"/>
      <c r="O538" s="12"/>
    </row>
    <row r="539" spans="1:15">
      <c r="A539" s="3"/>
      <c r="B539" s="3"/>
      <c r="H539" s="11"/>
      <c r="I539" s="11"/>
      <c r="J539" s="11"/>
      <c r="K539" s="11"/>
      <c r="L539" s="12"/>
      <c r="M539" s="12"/>
      <c r="N539" s="12"/>
      <c r="O539" s="12"/>
    </row>
    <row r="540" spans="1:15">
      <c r="A540" s="3"/>
      <c r="B540" s="3"/>
      <c r="H540" s="11"/>
      <c r="I540" s="11"/>
      <c r="J540" s="11"/>
      <c r="K540" s="11"/>
      <c r="L540" s="12"/>
      <c r="M540" s="12"/>
      <c r="N540" s="12"/>
      <c r="O540" s="12"/>
    </row>
    <row r="541" spans="1:15">
      <c r="A541" s="3"/>
      <c r="B541" s="3"/>
      <c r="H541" s="11"/>
      <c r="I541" s="11"/>
      <c r="J541" s="11"/>
      <c r="K541" s="11"/>
      <c r="L541" s="12"/>
      <c r="M541" s="12"/>
      <c r="N541" s="12"/>
      <c r="O541" s="12"/>
    </row>
    <row r="542" spans="1:15">
      <c r="A542" s="3"/>
      <c r="B542" s="3"/>
      <c r="H542" s="11"/>
      <c r="I542" s="11"/>
      <c r="J542" s="11"/>
      <c r="K542" s="11"/>
      <c r="L542" s="12"/>
      <c r="M542" s="12"/>
      <c r="N542" s="12"/>
      <c r="O542" s="12"/>
    </row>
  </sheetData>
  <mergeCells count="1">
    <mergeCell ref="C2:G2"/>
  </mergeCells>
  <phoneticPr fontId="3" type="noConversion"/>
  <dataValidations count="1">
    <dataValidation allowBlank="1" sqref="P2 L2:O22"/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02"/>
  <sheetViews>
    <sheetView workbookViewId="0"/>
  </sheetViews>
  <sheetFormatPr defaultColWidth="8.88671875" defaultRowHeight="14.4"/>
  <cols>
    <col min="1" max="1" width="11.44140625" style="41" bestFit="1" customWidth="1"/>
    <col min="2" max="2" width="9.109375" style="41" bestFit="1" customWidth="1"/>
    <col min="3" max="4" width="10.44140625" style="21" bestFit="1" customWidth="1"/>
    <col min="5" max="10" width="8.88671875" style="23"/>
    <col min="11" max="11" width="6.6640625" style="44" bestFit="1" customWidth="1"/>
    <col min="12" max="12" width="19.77734375" style="26" bestFit="1" customWidth="1"/>
    <col min="13" max="13" width="10.33203125" style="26" bestFit="1" customWidth="1"/>
    <col min="14" max="14" width="18" style="28" bestFit="1" customWidth="1"/>
    <col min="15" max="16384" width="8.88671875" style="18"/>
  </cols>
  <sheetData>
    <row r="1" spans="1:14">
      <c r="A1" s="43"/>
      <c r="B1" s="40"/>
      <c r="C1" s="38"/>
      <c r="D1" s="38"/>
      <c r="E1" s="31"/>
      <c r="K1" s="46"/>
      <c r="L1" s="32"/>
      <c r="M1" s="32"/>
      <c r="N1" s="35"/>
    </row>
    <row r="2" spans="1:14">
      <c r="A2" s="42"/>
      <c r="B2" s="42"/>
      <c r="C2" s="34"/>
      <c r="D2" s="34"/>
      <c r="E2" s="33"/>
      <c r="K2" s="45"/>
      <c r="L2" s="27"/>
      <c r="M2" s="27"/>
      <c r="N2" s="29"/>
    </row>
    <row r="3" spans="1:14">
      <c r="C3" s="34"/>
      <c r="D3" s="34"/>
      <c r="E3" s="25"/>
      <c r="F3" s="25"/>
      <c r="G3" s="25"/>
      <c r="H3" s="25"/>
    </row>
    <row r="4" spans="1:14">
      <c r="C4" s="34"/>
      <c r="D4" s="34"/>
    </row>
    <row r="5" spans="1:14">
      <c r="C5" s="34"/>
      <c r="D5" s="34"/>
    </row>
    <row r="6" spans="1:14">
      <c r="C6" s="34"/>
      <c r="D6" s="34"/>
    </row>
    <row r="7" spans="1:14">
      <c r="C7" s="34"/>
      <c r="D7" s="34"/>
    </row>
    <row r="8" spans="1:14">
      <c r="C8" s="34"/>
      <c r="D8" s="34"/>
    </row>
    <row r="9" spans="1:14">
      <c r="C9" s="34"/>
      <c r="D9" s="34"/>
    </row>
    <row r="10" spans="1:14">
      <c r="C10" s="34"/>
      <c r="D10" s="34"/>
      <c r="H10" s="24"/>
    </row>
    <row r="11" spans="1:14">
      <c r="C11" s="34"/>
      <c r="D11" s="34"/>
      <c r="H11" s="24"/>
    </row>
    <row r="12" spans="1:14">
      <c r="C12" s="34"/>
      <c r="D12" s="34"/>
    </row>
    <row r="13" spans="1:14">
      <c r="C13" s="34"/>
      <c r="D13" s="34"/>
    </row>
    <row r="14" spans="1:14">
      <c r="C14" s="34"/>
      <c r="D14" s="34"/>
    </row>
    <row r="15" spans="1:14">
      <c r="C15" s="34"/>
      <c r="D15" s="34"/>
    </row>
    <row r="16" spans="1:14">
      <c r="C16" s="34"/>
      <c r="D16" s="34"/>
    </row>
    <row r="17" spans="3:4">
      <c r="C17" s="34"/>
      <c r="D17" s="34"/>
    </row>
    <row r="18" spans="3:4">
      <c r="C18" s="34"/>
      <c r="D18" s="34"/>
    </row>
    <row r="19" spans="3:4">
      <c r="C19" s="34"/>
      <c r="D19" s="34"/>
    </row>
    <row r="20" spans="3:4">
      <c r="C20" s="34"/>
      <c r="D20" s="34"/>
    </row>
    <row r="21" spans="3:4">
      <c r="C21" s="34"/>
      <c r="D21" s="34"/>
    </row>
    <row r="22" spans="3:4">
      <c r="C22" s="34"/>
      <c r="D22" s="34"/>
    </row>
    <row r="23" spans="3:4">
      <c r="C23" s="34"/>
      <c r="D23" s="34"/>
    </row>
    <row r="24" spans="3:4">
      <c r="C24" s="34"/>
      <c r="D24" s="34"/>
    </row>
    <row r="25" spans="3:4">
      <c r="C25" s="34"/>
      <c r="D25" s="34"/>
    </row>
    <row r="26" spans="3:4">
      <c r="C26" s="34"/>
      <c r="D26" s="34"/>
    </row>
    <row r="27" spans="3:4">
      <c r="C27" s="34"/>
      <c r="D27" s="34"/>
    </row>
    <row r="28" spans="3:4">
      <c r="C28" s="34"/>
      <c r="D28" s="34"/>
    </row>
    <row r="29" spans="3:4">
      <c r="C29" s="34"/>
      <c r="D29" s="34"/>
    </row>
    <row r="30" spans="3:4">
      <c r="C30" s="34"/>
      <c r="D30" s="34"/>
    </row>
    <row r="31" spans="3:4">
      <c r="C31" s="34"/>
      <c r="D31" s="34"/>
    </row>
    <row r="32" spans="3:4">
      <c r="C32" s="34"/>
      <c r="D32" s="34"/>
    </row>
    <row r="33" spans="3:8">
      <c r="C33" s="34"/>
      <c r="D33" s="34"/>
      <c r="E33" s="25"/>
      <c r="F33" s="25"/>
      <c r="G33" s="25"/>
      <c r="H33" s="25"/>
    </row>
    <row r="34" spans="3:8">
      <c r="C34" s="34"/>
      <c r="D34" s="34"/>
    </row>
    <row r="35" spans="3:8">
      <c r="C35" s="34"/>
      <c r="D35" s="34"/>
    </row>
    <row r="36" spans="3:8">
      <c r="C36" s="34"/>
      <c r="D36" s="34"/>
    </row>
    <row r="37" spans="3:8">
      <c r="C37" s="34"/>
      <c r="D37" s="34"/>
    </row>
    <row r="38" spans="3:8">
      <c r="C38" s="34"/>
      <c r="D38" s="34"/>
    </row>
    <row r="39" spans="3:8">
      <c r="C39" s="34"/>
      <c r="D39" s="34"/>
    </row>
    <row r="40" spans="3:8">
      <c r="C40" s="34"/>
      <c r="D40" s="34"/>
      <c r="H40" s="24"/>
    </row>
    <row r="41" spans="3:8">
      <c r="C41" s="34"/>
      <c r="D41" s="34"/>
      <c r="H41" s="24"/>
    </row>
    <row r="42" spans="3:8">
      <c r="C42" s="34"/>
      <c r="D42" s="34"/>
    </row>
    <row r="43" spans="3:8">
      <c r="C43" s="34"/>
      <c r="D43" s="34"/>
    </row>
    <row r="44" spans="3:8">
      <c r="C44" s="34"/>
      <c r="D44" s="34"/>
    </row>
    <row r="45" spans="3:8">
      <c r="C45" s="34"/>
      <c r="D45" s="34"/>
    </row>
    <row r="46" spans="3:8">
      <c r="C46" s="34"/>
      <c r="D46" s="34"/>
    </row>
    <row r="47" spans="3:8">
      <c r="C47" s="34"/>
      <c r="D47" s="34"/>
    </row>
    <row r="48" spans="3:8">
      <c r="C48" s="34"/>
      <c r="D48" s="34"/>
    </row>
    <row r="49" spans="3:8">
      <c r="C49" s="34"/>
      <c r="D49" s="34"/>
    </row>
    <row r="50" spans="3:8">
      <c r="C50" s="34"/>
      <c r="D50" s="34"/>
    </row>
    <row r="51" spans="3:8">
      <c r="C51" s="34"/>
      <c r="D51" s="34"/>
    </row>
    <row r="52" spans="3:8">
      <c r="C52" s="34"/>
      <c r="D52" s="34"/>
    </row>
    <row r="53" spans="3:8">
      <c r="C53" s="34"/>
      <c r="D53" s="34"/>
    </row>
    <row r="54" spans="3:8">
      <c r="C54" s="34"/>
      <c r="D54" s="34"/>
    </row>
    <row r="55" spans="3:8">
      <c r="C55" s="34"/>
      <c r="D55" s="34"/>
    </row>
    <row r="56" spans="3:8">
      <c r="C56" s="34"/>
      <c r="D56" s="34"/>
    </row>
    <row r="57" spans="3:8">
      <c r="C57" s="34"/>
      <c r="D57" s="34"/>
    </row>
    <row r="58" spans="3:8">
      <c r="C58" s="34"/>
      <c r="D58" s="34"/>
    </row>
    <row r="59" spans="3:8">
      <c r="C59" s="34"/>
      <c r="D59" s="34"/>
    </row>
    <row r="60" spans="3:8">
      <c r="C60" s="34"/>
      <c r="D60" s="34"/>
    </row>
    <row r="61" spans="3:8">
      <c r="C61" s="34"/>
      <c r="D61" s="34"/>
    </row>
    <row r="62" spans="3:8">
      <c r="C62" s="34"/>
      <c r="D62" s="34"/>
    </row>
    <row r="63" spans="3:8">
      <c r="C63" s="34"/>
      <c r="D63" s="34"/>
      <c r="E63" s="25"/>
      <c r="F63" s="25"/>
      <c r="G63" s="25"/>
      <c r="H63" s="25"/>
    </row>
    <row r="64" spans="3:8">
      <c r="C64" s="34"/>
      <c r="D64" s="34"/>
    </row>
    <row r="65" spans="3:8">
      <c r="C65" s="34"/>
      <c r="D65" s="34"/>
    </row>
    <row r="66" spans="3:8">
      <c r="C66" s="34"/>
      <c r="D66" s="34"/>
    </row>
    <row r="67" spans="3:8">
      <c r="C67" s="34"/>
      <c r="D67" s="34"/>
    </row>
    <row r="68" spans="3:8">
      <c r="C68" s="34"/>
      <c r="D68" s="34"/>
    </row>
    <row r="69" spans="3:8">
      <c r="C69" s="34"/>
      <c r="D69" s="34"/>
    </row>
    <row r="70" spans="3:8">
      <c r="C70" s="34"/>
      <c r="D70" s="34"/>
      <c r="H70" s="24"/>
    </row>
    <row r="71" spans="3:8">
      <c r="C71" s="34"/>
      <c r="D71" s="34"/>
      <c r="H71" s="24"/>
    </row>
    <row r="72" spans="3:8">
      <c r="C72" s="34"/>
      <c r="D72" s="34"/>
    </row>
    <row r="73" spans="3:8">
      <c r="C73" s="34"/>
      <c r="D73" s="34"/>
    </row>
    <row r="74" spans="3:8">
      <c r="C74" s="34"/>
      <c r="D74" s="34"/>
    </row>
    <row r="75" spans="3:8">
      <c r="C75" s="34"/>
      <c r="D75" s="34"/>
    </row>
    <row r="76" spans="3:8">
      <c r="C76" s="34"/>
      <c r="D76" s="34"/>
    </row>
    <row r="77" spans="3:8">
      <c r="C77" s="34"/>
      <c r="D77" s="34"/>
    </row>
    <row r="78" spans="3:8">
      <c r="C78" s="34"/>
      <c r="D78" s="34"/>
    </row>
    <row r="79" spans="3:8">
      <c r="C79" s="34"/>
      <c r="D79" s="34"/>
    </row>
    <row r="80" spans="3:8">
      <c r="C80" s="34"/>
      <c r="D80" s="34"/>
    </row>
    <row r="81" spans="3:8">
      <c r="C81" s="34"/>
      <c r="D81" s="34"/>
    </row>
    <row r="82" spans="3:8">
      <c r="C82" s="34"/>
      <c r="D82" s="34"/>
    </row>
    <row r="83" spans="3:8">
      <c r="C83" s="34"/>
      <c r="D83" s="34"/>
    </row>
    <row r="84" spans="3:8">
      <c r="C84" s="34"/>
      <c r="D84" s="34"/>
    </row>
    <row r="85" spans="3:8">
      <c r="C85" s="34"/>
      <c r="D85" s="34"/>
    </row>
    <row r="86" spans="3:8">
      <c r="C86" s="34"/>
      <c r="D86" s="34"/>
    </row>
    <row r="87" spans="3:8">
      <c r="C87" s="34"/>
      <c r="D87" s="34"/>
    </row>
    <row r="88" spans="3:8">
      <c r="C88" s="34"/>
      <c r="D88" s="34"/>
    </row>
    <row r="89" spans="3:8">
      <c r="C89" s="34"/>
      <c r="D89" s="34"/>
    </row>
    <row r="90" spans="3:8">
      <c r="C90" s="34"/>
      <c r="D90" s="34"/>
    </row>
    <row r="91" spans="3:8">
      <c r="C91" s="34"/>
      <c r="D91" s="34"/>
    </row>
    <row r="92" spans="3:8">
      <c r="C92" s="34"/>
      <c r="D92" s="34"/>
    </row>
    <row r="93" spans="3:8">
      <c r="C93" s="34"/>
      <c r="D93" s="34"/>
      <c r="E93" s="25"/>
      <c r="F93" s="25"/>
      <c r="G93" s="25"/>
      <c r="H93" s="25"/>
    </row>
    <row r="94" spans="3:8">
      <c r="C94" s="34"/>
      <c r="D94" s="34"/>
    </row>
    <row r="95" spans="3:8">
      <c r="C95" s="34"/>
      <c r="D95" s="34"/>
    </row>
    <row r="96" spans="3:8">
      <c r="C96" s="34"/>
      <c r="D96" s="34"/>
    </row>
    <row r="97" spans="3:8">
      <c r="C97" s="34"/>
      <c r="D97" s="34"/>
    </row>
    <row r="98" spans="3:8">
      <c r="C98" s="34"/>
      <c r="D98" s="34"/>
    </row>
    <row r="99" spans="3:8">
      <c r="C99" s="34"/>
      <c r="D99" s="34"/>
    </row>
    <row r="100" spans="3:8">
      <c r="C100" s="34"/>
      <c r="D100" s="34"/>
      <c r="H100" s="24"/>
    </row>
    <row r="101" spans="3:8">
      <c r="C101" s="34"/>
      <c r="D101" s="34"/>
      <c r="H101" s="24"/>
    </row>
    <row r="102" spans="3:8">
      <c r="C102" s="34"/>
      <c r="D102" s="34"/>
    </row>
    <row r="103" spans="3:8">
      <c r="C103" s="34"/>
      <c r="D103" s="34"/>
    </row>
    <row r="104" spans="3:8">
      <c r="C104" s="34"/>
      <c r="D104" s="34"/>
    </row>
    <row r="105" spans="3:8">
      <c r="C105" s="34"/>
      <c r="D105" s="34"/>
    </row>
    <row r="106" spans="3:8">
      <c r="C106" s="34"/>
      <c r="D106" s="34"/>
    </row>
    <row r="107" spans="3:8">
      <c r="C107" s="34"/>
      <c r="D107" s="34"/>
    </row>
    <row r="108" spans="3:8">
      <c r="C108" s="34"/>
      <c r="D108" s="34"/>
    </row>
    <row r="109" spans="3:8">
      <c r="C109" s="34"/>
      <c r="D109" s="34"/>
    </row>
    <row r="110" spans="3:8">
      <c r="C110" s="34"/>
      <c r="D110" s="34"/>
    </row>
    <row r="111" spans="3:8">
      <c r="C111" s="34"/>
      <c r="D111" s="34"/>
    </row>
    <row r="112" spans="3:8">
      <c r="C112" s="34"/>
      <c r="D112" s="34"/>
    </row>
    <row r="113" spans="3:8">
      <c r="C113" s="34"/>
      <c r="D113" s="34"/>
    </row>
    <row r="114" spans="3:8">
      <c r="C114" s="34"/>
      <c r="D114" s="34"/>
    </row>
    <row r="115" spans="3:8">
      <c r="C115" s="34"/>
      <c r="D115" s="34"/>
    </row>
    <row r="116" spans="3:8">
      <c r="C116" s="34"/>
      <c r="D116" s="34"/>
    </row>
    <row r="117" spans="3:8">
      <c r="C117" s="34"/>
      <c r="D117" s="34"/>
    </row>
    <row r="118" spans="3:8">
      <c r="C118" s="34"/>
      <c r="D118" s="34"/>
    </row>
    <row r="119" spans="3:8">
      <c r="C119" s="34"/>
      <c r="D119" s="34"/>
    </row>
    <row r="120" spans="3:8">
      <c r="C120" s="34"/>
      <c r="D120" s="34"/>
    </row>
    <row r="121" spans="3:8">
      <c r="C121" s="34"/>
      <c r="D121" s="34"/>
    </row>
    <row r="122" spans="3:8">
      <c r="C122" s="34"/>
      <c r="D122" s="34"/>
    </row>
    <row r="123" spans="3:8">
      <c r="C123" s="34"/>
      <c r="D123" s="34"/>
      <c r="E123" s="25"/>
      <c r="F123" s="25"/>
      <c r="G123" s="25"/>
      <c r="H123" s="25"/>
    </row>
    <row r="124" spans="3:8">
      <c r="C124" s="34"/>
      <c r="D124" s="34"/>
    </row>
    <row r="125" spans="3:8">
      <c r="C125" s="34"/>
      <c r="D125" s="34"/>
    </row>
    <row r="126" spans="3:8">
      <c r="C126" s="34"/>
      <c r="D126" s="34"/>
    </row>
    <row r="127" spans="3:8">
      <c r="C127" s="34"/>
      <c r="D127" s="34"/>
    </row>
    <row r="128" spans="3:8">
      <c r="C128" s="34"/>
      <c r="D128" s="34"/>
    </row>
    <row r="129" spans="3:8">
      <c r="C129" s="34"/>
      <c r="D129" s="34"/>
    </row>
    <row r="130" spans="3:8">
      <c r="C130" s="34"/>
      <c r="D130" s="34"/>
      <c r="H130" s="24"/>
    </row>
    <row r="131" spans="3:8">
      <c r="C131" s="34"/>
      <c r="D131" s="34"/>
      <c r="H131" s="24"/>
    </row>
    <row r="132" spans="3:8">
      <c r="C132" s="34"/>
      <c r="D132" s="34"/>
    </row>
    <row r="133" spans="3:8">
      <c r="C133" s="34"/>
      <c r="D133" s="34"/>
    </row>
    <row r="134" spans="3:8">
      <c r="C134" s="34"/>
      <c r="D134" s="34"/>
    </row>
    <row r="135" spans="3:8">
      <c r="C135" s="34"/>
      <c r="D135" s="34"/>
    </row>
    <row r="136" spans="3:8">
      <c r="C136" s="34"/>
      <c r="D136" s="34"/>
    </row>
    <row r="137" spans="3:8">
      <c r="C137" s="34"/>
      <c r="D137" s="34"/>
    </row>
    <row r="138" spans="3:8">
      <c r="C138" s="34"/>
      <c r="D138" s="34"/>
    </row>
    <row r="139" spans="3:8">
      <c r="C139" s="34"/>
      <c r="D139" s="34"/>
    </row>
    <row r="140" spans="3:8">
      <c r="C140" s="34"/>
      <c r="D140" s="34"/>
    </row>
    <row r="141" spans="3:8">
      <c r="C141" s="34"/>
      <c r="D141" s="34"/>
    </row>
    <row r="142" spans="3:8">
      <c r="C142" s="34"/>
      <c r="D142" s="34"/>
    </row>
    <row r="143" spans="3:8">
      <c r="C143" s="34"/>
      <c r="D143" s="34"/>
    </row>
    <row r="144" spans="3:8">
      <c r="C144" s="34"/>
      <c r="D144" s="34"/>
    </row>
    <row r="145" spans="3:8">
      <c r="C145" s="34"/>
      <c r="D145" s="34"/>
    </row>
    <row r="146" spans="3:8">
      <c r="C146" s="34"/>
      <c r="D146" s="34"/>
    </row>
    <row r="147" spans="3:8">
      <c r="C147" s="34"/>
      <c r="D147" s="34"/>
    </row>
    <row r="148" spans="3:8">
      <c r="C148" s="34"/>
      <c r="D148" s="34"/>
    </row>
    <row r="149" spans="3:8">
      <c r="C149" s="34"/>
      <c r="D149" s="34"/>
    </row>
    <row r="150" spans="3:8">
      <c r="C150" s="34"/>
      <c r="D150" s="34"/>
    </row>
    <row r="151" spans="3:8">
      <c r="C151" s="34"/>
      <c r="D151" s="34"/>
    </row>
    <row r="152" spans="3:8">
      <c r="C152" s="34"/>
      <c r="D152" s="34"/>
    </row>
    <row r="153" spans="3:8">
      <c r="C153" s="34"/>
      <c r="D153" s="34"/>
      <c r="E153" s="25"/>
      <c r="F153" s="25"/>
      <c r="G153" s="25"/>
      <c r="H153" s="25"/>
    </row>
    <row r="154" spans="3:8">
      <c r="C154" s="34"/>
      <c r="D154" s="34"/>
    </row>
    <row r="155" spans="3:8">
      <c r="C155" s="34"/>
      <c r="D155" s="34"/>
    </row>
    <row r="156" spans="3:8">
      <c r="C156" s="34"/>
      <c r="D156" s="34"/>
    </row>
    <row r="157" spans="3:8">
      <c r="C157" s="34"/>
      <c r="D157" s="34"/>
    </row>
    <row r="158" spans="3:8">
      <c r="C158" s="34"/>
      <c r="D158" s="34"/>
    </row>
    <row r="159" spans="3:8">
      <c r="C159" s="34"/>
      <c r="D159" s="34"/>
    </row>
    <row r="160" spans="3:8">
      <c r="C160" s="34"/>
      <c r="D160" s="34"/>
      <c r="H160" s="24"/>
    </row>
    <row r="161" spans="3:8">
      <c r="C161" s="34"/>
      <c r="D161" s="34"/>
      <c r="H161" s="24"/>
    </row>
    <row r="162" spans="3:8">
      <c r="C162" s="34"/>
      <c r="D162" s="34"/>
    </row>
    <row r="163" spans="3:8">
      <c r="C163" s="34"/>
      <c r="D163" s="34"/>
    </row>
    <row r="164" spans="3:8">
      <c r="C164" s="34"/>
      <c r="D164" s="34"/>
    </row>
    <row r="165" spans="3:8">
      <c r="C165" s="34"/>
      <c r="D165" s="34"/>
    </row>
    <row r="166" spans="3:8">
      <c r="C166" s="34"/>
      <c r="D166" s="34"/>
    </row>
    <row r="167" spans="3:8">
      <c r="C167" s="34"/>
      <c r="D167" s="34"/>
    </row>
    <row r="168" spans="3:8">
      <c r="C168" s="34"/>
      <c r="D168" s="34"/>
    </row>
    <row r="169" spans="3:8">
      <c r="C169" s="34"/>
      <c r="D169" s="34"/>
    </row>
    <row r="170" spans="3:8">
      <c r="C170" s="34"/>
      <c r="D170" s="34"/>
    </row>
    <row r="171" spans="3:8">
      <c r="C171" s="34"/>
      <c r="D171" s="34"/>
    </row>
    <row r="172" spans="3:8">
      <c r="C172" s="34"/>
      <c r="D172" s="34"/>
    </row>
    <row r="173" spans="3:8">
      <c r="C173" s="34"/>
      <c r="D173" s="34"/>
    </row>
    <row r="174" spans="3:8">
      <c r="C174" s="34"/>
      <c r="D174" s="34"/>
    </row>
    <row r="175" spans="3:8">
      <c r="C175" s="34"/>
      <c r="D175" s="34"/>
    </row>
    <row r="176" spans="3:8">
      <c r="C176" s="34"/>
      <c r="D176" s="34"/>
    </row>
    <row r="177" spans="3:8">
      <c r="C177" s="34"/>
      <c r="D177" s="34"/>
    </row>
    <row r="178" spans="3:8">
      <c r="C178" s="34"/>
      <c r="D178" s="34"/>
    </row>
    <row r="179" spans="3:8">
      <c r="C179" s="34"/>
      <c r="D179" s="34"/>
    </row>
    <row r="180" spans="3:8">
      <c r="C180" s="34"/>
      <c r="D180" s="34"/>
    </row>
    <row r="181" spans="3:8">
      <c r="C181" s="34"/>
      <c r="D181" s="34"/>
    </row>
    <row r="182" spans="3:8">
      <c r="C182" s="34"/>
      <c r="D182" s="34"/>
    </row>
    <row r="183" spans="3:8">
      <c r="C183" s="34"/>
      <c r="D183" s="34"/>
      <c r="E183" s="25"/>
      <c r="F183" s="25"/>
      <c r="G183" s="25"/>
      <c r="H183" s="25"/>
    </row>
    <row r="184" spans="3:8">
      <c r="C184" s="34"/>
      <c r="D184" s="34"/>
    </row>
    <row r="185" spans="3:8">
      <c r="C185" s="34"/>
      <c r="D185" s="34"/>
    </row>
    <row r="186" spans="3:8">
      <c r="C186" s="34"/>
      <c r="D186" s="34"/>
    </row>
    <row r="187" spans="3:8">
      <c r="C187" s="34"/>
      <c r="D187" s="34"/>
    </row>
    <row r="188" spans="3:8">
      <c r="C188" s="34"/>
      <c r="D188" s="34"/>
    </row>
    <row r="189" spans="3:8">
      <c r="C189" s="34"/>
      <c r="D189" s="34"/>
    </row>
    <row r="190" spans="3:8">
      <c r="C190" s="34"/>
      <c r="D190" s="34"/>
      <c r="H190" s="24"/>
    </row>
    <row r="191" spans="3:8">
      <c r="C191" s="34"/>
      <c r="D191" s="34"/>
      <c r="H191" s="24"/>
    </row>
    <row r="192" spans="3:8">
      <c r="C192" s="34"/>
      <c r="D192" s="34"/>
    </row>
    <row r="193" spans="3:4">
      <c r="C193" s="34"/>
      <c r="D193" s="34"/>
    </row>
    <row r="194" spans="3:4">
      <c r="C194" s="34"/>
      <c r="D194" s="34"/>
    </row>
    <row r="195" spans="3:4">
      <c r="C195" s="34"/>
      <c r="D195" s="34"/>
    </row>
    <row r="196" spans="3:4">
      <c r="C196" s="34"/>
      <c r="D196" s="34"/>
    </row>
    <row r="197" spans="3:4">
      <c r="C197" s="34"/>
      <c r="D197" s="34"/>
    </row>
    <row r="198" spans="3:4">
      <c r="C198" s="34"/>
      <c r="D198" s="34"/>
    </row>
    <row r="199" spans="3:4">
      <c r="C199" s="34"/>
      <c r="D199" s="34"/>
    </row>
    <row r="200" spans="3:4">
      <c r="C200" s="34"/>
      <c r="D200" s="34"/>
    </row>
    <row r="201" spans="3:4">
      <c r="C201" s="34"/>
      <c r="D201" s="34"/>
    </row>
    <row r="202" spans="3:4">
      <c r="C202" s="34"/>
      <c r="D202" s="34"/>
    </row>
    <row r="203" spans="3:4">
      <c r="C203" s="34"/>
      <c r="D203" s="34"/>
    </row>
    <row r="204" spans="3:4">
      <c r="C204" s="34"/>
      <c r="D204" s="34"/>
    </row>
    <row r="205" spans="3:4">
      <c r="C205" s="34"/>
      <c r="D205" s="34"/>
    </row>
    <row r="206" spans="3:4">
      <c r="C206" s="34"/>
      <c r="D206" s="34"/>
    </row>
    <row r="207" spans="3:4">
      <c r="C207" s="34"/>
      <c r="D207" s="34"/>
    </row>
    <row r="208" spans="3:4">
      <c r="C208" s="34"/>
      <c r="D208" s="34"/>
    </row>
    <row r="209" spans="3:8">
      <c r="C209" s="34"/>
      <c r="D209" s="34"/>
    </row>
    <row r="210" spans="3:8">
      <c r="C210" s="34"/>
      <c r="D210" s="34"/>
    </row>
    <row r="211" spans="3:8">
      <c r="C211" s="34"/>
      <c r="D211" s="34"/>
    </row>
    <row r="212" spans="3:8">
      <c r="C212" s="34"/>
      <c r="D212" s="34"/>
    </row>
    <row r="213" spans="3:8">
      <c r="C213" s="34"/>
      <c r="D213" s="34"/>
      <c r="E213" s="25"/>
      <c r="F213" s="25"/>
      <c r="G213" s="25"/>
      <c r="H213" s="25"/>
    </row>
    <row r="214" spans="3:8">
      <c r="C214" s="34"/>
      <c r="D214" s="34"/>
    </row>
    <row r="215" spans="3:8">
      <c r="C215" s="34"/>
      <c r="D215" s="34"/>
    </row>
    <row r="216" spans="3:8">
      <c r="C216" s="34"/>
      <c r="D216" s="34"/>
    </row>
    <row r="217" spans="3:8">
      <c r="C217" s="34"/>
      <c r="D217" s="34"/>
    </row>
    <row r="218" spans="3:8">
      <c r="C218" s="34"/>
      <c r="D218" s="34"/>
    </row>
    <row r="219" spans="3:8">
      <c r="C219" s="34"/>
      <c r="D219" s="34"/>
    </row>
    <row r="220" spans="3:8">
      <c r="C220" s="34"/>
      <c r="D220" s="34"/>
      <c r="H220" s="24"/>
    </row>
    <row r="221" spans="3:8">
      <c r="C221" s="34"/>
      <c r="D221" s="34"/>
      <c r="H221" s="24"/>
    </row>
    <row r="222" spans="3:8">
      <c r="C222" s="34"/>
      <c r="D222" s="34"/>
    </row>
    <row r="223" spans="3:8">
      <c r="C223" s="34"/>
      <c r="D223" s="34"/>
    </row>
    <row r="224" spans="3:8">
      <c r="C224" s="34"/>
      <c r="D224" s="34"/>
    </row>
    <row r="225" spans="3:4">
      <c r="C225" s="34"/>
      <c r="D225" s="34"/>
    </row>
    <row r="226" spans="3:4">
      <c r="C226" s="34"/>
      <c r="D226" s="34"/>
    </row>
    <row r="227" spans="3:4">
      <c r="C227" s="34"/>
      <c r="D227" s="34"/>
    </row>
    <row r="228" spans="3:4">
      <c r="C228" s="34"/>
      <c r="D228" s="34"/>
    </row>
    <row r="229" spans="3:4">
      <c r="C229" s="34"/>
      <c r="D229" s="34"/>
    </row>
    <row r="230" spans="3:4">
      <c r="C230" s="34"/>
      <c r="D230" s="34"/>
    </row>
    <row r="231" spans="3:4">
      <c r="C231" s="34"/>
      <c r="D231" s="34"/>
    </row>
    <row r="232" spans="3:4">
      <c r="C232" s="34"/>
      <c r="D232" s="34"/>
    </row>
    <row r="233" spans="3:4">
      <c r="C233" s="34"/>
      <c r="D233" s="34"/>
    </row>
    <row r="234" spans="3:4">
      <c r="C234" s="34"/>
      <c r="D234" s="34"/>
    </row>
    <row r="235" spans="3:4">
      <c r="C235" s="34"/>
      <c r="D235" s="34"/>
    </row>
    <row r="236" spans="3:4">
      <c r="C236" s="34"/>
      <c r="D236" s="34"/>
    </row>
    <row r="237" spans="3:4">
      <c r="C237" s="34"/>
      <c r="D237" s="34"/>
    </row>
    <row r="238" spans="3:4">
      <c r="C238" s="34"/>
      <c r="D238" s="34"/>
    </row>
    <row r="239" spans="3:4">
      <c r="C239" s="34"/>
      <c r="D239" s="34"/>
    </row>
    <row r="240" spans="3:4">
      <c r="C240" s="34"/>
      <c r="D240" s="34"/>
    </row>
    <row r="241" spans="3:8">
      <c r="C241" s="34"/>
      <c r="D241" s="34"/>
    </row>
    <row r="242" spans="3:8">
      <c r="C242" s="34"/>
      <c r="D242" s="34"/>
    </row>
    <row r="243" spans="3:8">
      <c r="C243" s="34"/>
      <c r="D243" s="34"/>
      <c r="E243" s="25"/>
      <c r="F243" s="25"/>
      <c r="G243" s="25"/>
      <c r="H243" s="25"/>
    </row>
    <row r="244" spans="3:8">
      <c r="C244" s="34"/>
      <c r="D244" s="34"/>
    </row>
    <row r="245" spans="3:8">
      <c r="C245" s="34"/>
      <c r="D245" s="34"/>
    </row>
    <row r="246" spans="3:8">
      <c r="C246" s="34"/>
      <c r="D246" s="34"/>
    </row>
    <row r="247" spans="3:8">
      <c r="C247" s="34"/>
      <c r="D247" s="34"/>
    </row>
    <row r="248" spans="3:8">
      <c r="C248" s="34"/>
      <c r="D248" s="34"/>
    </row>
    <row r="249" spans="3:8">
      <c r="C249" s="34"/>
      <c r="D249" s="34"/>
    </row>
    <row r="250" spans="3:8">
      <c r="C250" s="34"/>
      <c r="D250" s="34"/>
      <c r="H250" s="24"/>
    </row>
    <row r="251" spans="3:8">
      <c r="C251" s="34"/>
      <c r="D251" s="34"/>
      <c r="H251" s="24"/>
    </row>
    <row r="252" spans="3:8">
      <c r="C252" s="34"/>
      <c r="D252" s="34"/>
    </row>
    <row r="253" spans="3:8">
      <c r="C253" s="34"/>
      <c r="D253" s="34"/>
    </row>
    <row r="254" spans="3:8">
      <c r="C254" s="34"/>
      <c r="D254" s="34"/>
    </row>
    <row r="255" spans="3:8">
      <c r="C255" s="34"/>
      <c r="D255" s="34"/>
    </row>
    <row r="256" spans="3:8">
      <c r="C256" s="34"/>
      <c r="D256" s="34"/>
    </row>
    <row r="257" spans="3:4">
      <c r="C257" s="34"/>
      <c r="D257" s="34"/>
    </row>
    <row r="258" spans="3:4">
      <c r="C258" s="34"/>
      <c r="D258" s="34"/>
    </row>
    <row r="259" spans="3:4">
      <c r="C259" s="34"/>
      <c r="D259" s="34"/>
    </row>
    <row r="260" spans="3:4">
      <c r="C260" s="34"/>
      <c r="D260" s="34"/>
    </row>
    <row r="261" spans="3:4">
      <c r="C261" s="34"/>
      <c r="D261" s="34"/>
    </row>
    <row r="262" spans="3:4">
      <c r="C262" s="34"/>
      <c r="D262" s="34"/>
    </row>
    <row r="263" spans="3:4">
      <c r="C263" s="34"/>
      <c r="D263" s="34"/>
    </row>
    <row r="264" spans="3:4">
      <c r="C264" s="34"/>
      <c r="D264" s="34"/>
    </row>
    <row r="265" spans="3:4">
      <c r="C265" s="34"/>
      <c r="D265" s="34"/>
    </row>
    <row r="266" spans="3:4">
      <c r="C266" s="34"/>
      <c r="D266" s="34"/>
    </row>
    <row r="267" spans="3:4">
      <c r="C267" s="34"/>
      <c r="D267" s="34"/>
    </row>
    <row r="268" spans="3:4">
      <c r="C268" s="34"/>
      <c r="D268" s="34"/>
    </row>
    <row r="269" spans="3:4">
      <c r="C269" s="34"/>
      <c r="D269" s="34"/>
    </row>
    <row r="270" spans="3:4">
      <c r="C270" s="34"/>
      <c r="D270" s="34"/>
    </row>
    <row r="271" spans="3:4">
      <c r="C271" s="34"/>
      <c r="D271" s="34"/>
    </row>
    <row r="272" spans="3:4">
      <c r="C272" s="34"/>
      <c r="D272" s="34"/>
    </row>
    <row r="273" spans="3:8">
      <c r="C273" s="34"/>
      <c r="D273" s="34"/>
      <c r="E273" s="25"/>
      <c r="F273" s="25"/>
      <c r="G273" s="25"/>
      <c r="H273" s="25"/>
    </row>
    <row r="274" spans="3:8">
      <c r="C274" s="34"/>
      <c r="D274" s="34"/>
    </row>
    <row r="275" spans="3:8">
      <c r="C275" s="34"/>
      <c r="D275" s="34"/>
    </row>
    <row r="276" spans="3:8">
      <c r="C276" s="34"/>
      <c r="D276" s="34"/>
    </row>
    <row r="277" spans="3:8">
      <c r="C277" s="34"/>
      <c r="D277" s="34"/>
    </row>
    <row r="278" spans="3:8">
      <c r="C278" s="34"/>
      <c r="D278" s="34"/>
    </row>
    <row r="279" spans="3:8">
      <c r="C279" s="34"/>
      <c r="D279" s="34"/>
    </row>
    <row r="280" spans="3:8">
      <c r="C280" s="34"/>
      <c r="D280" s="34"/>
      <c r="H280" s="24"/>
    </row>
    <row r="281" spans="3:8">
      <c r="C281" s="34"/>
      <c r="D281" s="34"/>
      <c r="H281" s="24"/>
    </row>
    <row r="282" spans="3:8">
      <c r="C282" s="34"/>
      <c r="D282" s="34"/>
    </row>
    <row r="283" spans="3:8">
      <c r="C283" s="34"/>
      <c r="D283" s="34"/>
    </row>
    <row r="284" spans="3:8">
      <c r="C284" s="34"/>
      <c r="D284" s="34"/>
    </row>
    <row r="285" spans="3:8">
      <c r="C285" s="34"/>
      <c r="D285" s="34"/>
    </row>
    <row r="286" spans="3:8">
      <c r="C286" s="34"/>
      <c r="D286" s="34"/>
    </row>
    <row r="287" spans="3:8">
      <c r="C287" s="34"/>
      <c r="D287" s="34"/>
    </row>
    <row r="288" spans="3:8">
      <c r="C288" s="34"/>
      <c r="D288" s="34"/>
    </row>
    <row r="289" spans="3:8">
      <c r="C289" s="34"/>
      <c r="D289" s="34"/>
    </row>
    <row r="290" spans="3:8">
      <c r="C290" s="34"/>
      <c r="D290" s="34"/>
    </row>
    <row r="291" spans="3:8">
      <c r="C291" s="34"/>
      <c r="D291" s="34"/>
    </row>
    <row r="292" spans="3:8">
      <c r="C292" s="34"/>
      <c r="D292" s="34"/>
    </row>
    <row r="293" spans="3:8">
      <c r="C293" s="34"/>
      <c r="D293" s="34"/>
    </row>
    <row r="294" spans="3:8">
      <c r="C294" s="34"/>
      <c r="D294" s="34"/>
    </row>
    <row r="295" spans="3:8">
      <c r="C295" s="34"/>
      <c r="D295" s="34"/>
    </row>
    <row r="296" spans="3:8">
      <c r="C296" s="34"/>
      <c r="D296" s="34"/>
    </row>
    <row r="297" spans="3:8">
      <c r="C297" s="34"/>
      <c r="D297" s="34"/>
    </row>
    <row r="298" spans="3:8">
      <c r="C298" s="34"/>
      <c r="D298" s="34"/>
    </row>
    <row r="299" spans="3:8">
      <c r="C299" s="34"/>
      <c r="D299" s="34"/>
    </row>
    <row r="300" spans="3:8">
      <c r="C300" s="34"/>
      <c r="D300" s="34"/>
    </row>
    <row r="301" spans="3:8">
      <c r="C301" s="34"/>
      <c r="D301" s="34"/>
    </row>
    <row r="302" spans="3:8">
      <c r="C302" s="34"/>
      <c r="D302" s="34"/>
    </row>
    <row r="303" spans="3:8">
      <c r="C303" s="34"/>
      <c r="D303" s="34"/>
      <c r="E303" s="25"/>
      <c r="F303" s="25"/>
      <c r="G303" s="25"/>
      <c r="H303" s="25"/>
    </row>
    <row r="304" spans="3:8">
      <c r="C304" s="34"/>
      <c r="D304" s="34"/>
    </row>
    <row r="305" spans="3:8">
      <c r="C305" s="34"/>
      <c r="D305" s="34"/>
    </row>
    <row r="306" spans="3:8">
      <c r="C306" s="34"/>
      <c r="D306" s="34"/>
    </row>
    <row r="307" spans="3:8">
      <c r="C307" s="34"/>
      <c r="D307" s="34"/>
    </row>
    <row r="308" spans="3:8">
      <c r="C308" s="34"/>
      <c r="D308" s="34"/>
    </row>
    <row r="309" spans="3:8">
      <c r="C309" s="34"/>
      <c r="D309" s="34"/>
    </row>
    <row r="310" spans="3:8">
      <c r="C310" s="34"/>
      <c r="D310" s="34"/>
      <c r="H310" s="24"/>
    </row>
    <row r="311" spans="3:8">
      <c r="C311" s="34"/>
      <c r="D311" s="34"/>
      <c r="H311" s="24"/>
    </row>
    <row r="312" spans="3:8">
      <c r="C312" s="34"/>
      <c r="D312" s="34"/>
    </row>
    <row r="313" spans="3:8">
      <c r="C313" s="34"/>
      <c r="D313" s="34"/>
    </row>
    <row r="314" spans="3:8">
      <c r="C314" s="34"/>
      <c r="D314" s="34"/>
    </row>
    <row r="315" spans="3:8">
      <c r="C315" s="34"/>
      <c r="D315" s="34"/>
    </row>
    <row r="316" spans="3:8">
      <c r="C316" s="34"/>
      <c r="D316" s="34"/>
    </row>
    <row r="317" spans="3:8">
      <c r="C317" s="34"/>
      <c r="D317" s="34"/>
    </row>
    <row r="318" spans="3:8">
      <c r="C318" s="34"/>
      <c r="D318" s="34"/>
    </row>
    <row r="319" spans="3:8">
      <c r="C319" s="34"/>
      <c r="D319" s="34"/>
    </row>
    <row r="320" spans="3:8">
      <c r="C320" s="34"/>
      <c r="D320" s="34"/>
    </row>
    <row r="321" spans="3:8">
      <c r="C321" s="34"/>
      <c r="D321" s="34"/>
    </row>
    <row r="322" spans="3:8">
      <c r="C322" s="34"/>
      <c r="D322" s="34"/>
    </row>
    <row r="323" spans="3:8">
      <c r="C323" s="34"/>
      <c r="D323" s="34"/>
    </row>
    <row r="324" spans="3:8">
      <c r="C324" s="34"/>
      <c r="D324" s="34"/>
    </row>
    <row r="325" spans="3:8">
      <c r="C325" s="34"/>
      <c r="D325" s="34"/>
    </row>
    <row r="326" spans="3:8">
      <c r="C326" s="34"/>
      <c r="D326" s="34"/>
    </row>
    <row r="327" spans="3:8">
      <c r="C327" s="34"/>
      <c r="D327" s="34"/>
    </row>
    <row r="328" spans="3:8">
      <c r="C328" s="34"/>
      <c r="D328" s="34"/>
    </row>
    <row r="329" spans="3:8">
      <c r="C329" s="34"/>
      <c r="D329" s="34"/>
    </row>
    <row r="330" spans="3:8">
      <c r="C330" s="34"/>
      <c r="D330" s="34"/>
    </row>
    <row r="331" spans="3:8">
      <c r="C331" s="34"/>
      <c r="D331" s="34"/>
    </row>
    <row r="332" spans="3:8">
      <c r="C332" s="34"/>
      <c r="D332" s="34"/>
    </row>
    <row r="333" spans="3:8">
      <c r="C333" s="34"/>
      <c r="D333" s="34"/>
      <c r="E333" s="25"/>
      <c r="F333" s="25"/>
      <c r="G333" s="25"/>
      <c r="H333" s="25"/>
    </row>
    <row r="334" spans="3:8">
      <c r="C334" s="34"/>
      <c r="D334" s="34"/>
    </row>
    <row r="335" spans="3:8">
      <c r="C335" s="34"/>
      <c r="D335" s="34"/>
    </row>
    <row r="336" spans="3:8">
      <c r="C336" s="34"/>
      <c r="D336" s="34"/>
    </row>
    <row r="337" spans="3:8">
      <c r="C337" s="34"/>
      <c r="D337" s="34"/>
    </row>
    <row r="338" spans="3:8">
      <c r="C338" s="34"/>
      <c r="D338" s="34"/>
    </row>
    <row r="339" spans="3:8">
      <c r="C339" s="34"/>
      <c r="D339" s="34"/>
    </row>
    <row r="340" spans="3:8">
      <c r="C340" s="34"/>
      <c r="D340" s="34"/>
      <c r="H340" s="24"/>
    </row>
    <row r="341" spans="3:8">
      <c r="C341" s="34"/>
      <c r="D341" s="34"/>
      <c r="H341" s="24"/>
    </row>
    <row r="342" spans="3:8">
      <c r="C342" s="34"/>
      <c r="D342" s="34"/>
    </row>
    <row r="343" spans="3:8">
      <c r="C343" s="34"/>
      <c r="D343" s="34"/>
    </row>
    <row r="344" spans="3:8">
      <c r="C344" s="34"/>
      <c r="D344" s="34"/>
    </row>
    <row r="345" spans="3:8">
      <c r="C345" s="34"/>
      <c r="D345" s="34"/>
    </row>
    <row r="346" spans="3:8">
      <c r="C346" s="34"/>
      <c r="D346" s="34"/>
    </row>
    <row r="347" spans="3:8">
      <c r="C347" s="34"/>
      <c r="D347" s="34"/>
    </row>
    <row r="348" spans="3:8">
      <c r="C348" s="34"/>
      <c r="D348" s="34"/>
    </row>
    <row r="349" spans="3:8">
      <c r="C349" s="34"/>
      <c r="D349" s="34"/>
    </row>
    <row r="350" spans="3:8">
      <c r="C350" s="34"/>
      <c r="D350" s="34"/>
    </row>
    <row r="351" spans="3:8">
      <c r="C351" s="34"/>
      <c r="D351" s="34"/>
    </row>
    <row r="352" spans="3:8">
      <c r="C352" s="34"/>
      <c r="D352" s="34"/>
    </row>
    <row r="353" spans="3:8">
      <c r="C353" s="34"/>
      <c r="D353" s="34"/>
    </row>
    <row r="354" spans="3:8">
      <c r="C354" s="34"/>
      <c r="D354" s="34"/>
    </row>
    <row r="355" spans="3:8">
      <c r="C355" s="34"/>
      <c r="D355" s="34"/>
    </row>
    <row r="356" spans="3:8">
      <c r="C356" s="34"/>
      <c r="D356" s="34"/>
    </row>
    <row r="357" spans="3:8">
      <c r="C357" s="34"/>
      <c r="D357" s="34"/>
    </row>
    <row r="358" spans="3:8">
      <c r="C358" s="34"/>
      <c r="D358" s="34"/>
    </row>
    <row r="359" spans="3:8">
      <c r="C359" s="34"/>
      <c r="D359" s="34"/>
    </row>
    <row r="360" spans="3:8">
      <c r="C360" s="34"/>
      <c r="D360" s="34"/>
    </row>
    <row r="361" spans="3:8">
      <c r="C361" s="34"/>
      <c r="D361" s="34"/>
    </row>
    <row r="362" spans="3:8">
      <c r="C362" s="34"/>
      <c r="D362" s="34"/>
    </row>
    <row r="363" spans="3:8">
      <c r="C363" s="34"/>
      <c r="D363" s="34"/>
      <c r="E363" s="25"/>
      <c r="F363" s="25"/>
      <c r="G363" s="25"/>
      <c r="H363" s="25"/>
    </row>
    <row r="364" spans="3:8">
      <c r="C364" s="34"/>
      <c r="D364" s="34"/>
    </row>
    <row r="365" spans="3:8">
      <c r="C365" s="34"/>
      <c r="D365" s="34"/>
    </row>
    <row r="366" spans="3:8">
      <c r="C366" s="34"/>
      <c r="D366" s="34"/>
    </row>
    <row r="367" spans="3:8">
      <c r="C367" s="34"/>
      <c r="D367" s="34"/>
    </row>
    <row r="368" spans="3:8">
      <c r="C368" s="34"/>
      <c r="D368" s="34"/>
    </row>
    <row r="369" spans="3:8">
      <c r="C369" s="34"/>
      <c r="D369" s="34"/>
    </row>
    <row r="370" spans="3:8">
      <c r="C370" s="34"/>
      <c r="D370" s="34"/>
      <c r="H370" s="24"/>
    </row>
    <row r="371" spans="3:8">
      <c r="C371" s="34"/>
      <c r="D371" s="34"/>
      <c r="H371" s="24"/>
    </row>
    <row r="372" spans="3:8">
      <c r="C372" s="34"/>
      <c r="D372" s="34"/>
    </row>
    <row r="373" spans="3:8">
      <c r="C373" s="34"/>
      <c r="D373" s="34"/>
    </row>
    <row r="374" spans="3:8">
      <c r="C374" s="34"/>
      <c r="D374" s="34"/>
    </row>
    <row r="375" spans="3:8">
      <c r="C375" s="34"/>
      <c r="D375" s="34"/>
    </row>
    <row r="376" spans="3:8">
      <c r="C376" s="34"/>
      <c r="D376" s="34"/>
    </row>
    <row r="377" spans="3:8">
      <c r="C377" s="34"/>
      <c r="D377" s="34"/>
    </row>
    <row r="378" spans="3:8">
      <c r="C378" s="34"/>
      <c r="D378" s="34"/>
    </row>
    <row r="379" spans="3:8">
      <c r="C379" s="34"/>
      <c r="D379" s="34"/>
    </row>
    <row r="380" spans="3:8">
      <c r="C380" s="34"/>
      <c r="D380" s="34"/>
    </row>
    <row r="381" spans="3:8">
      <c r="C381" s="34"/>
      <c r="D381" s="34"/>
    </row>
    <row r="382" spans="3:8">
      <c r="C382" s="34"/>
      <c r="D382" s="34"/>
    </row>
    <row r="383" spans="3:8">
      <c r="C383" s="34"/>
      <c r="D383" s="34"/>
    </row>
    <row r="384" spans="3:8">
      <c r="C384" s="34"/>
      <c r="D384" s="34"/>
    </row>
    <row r="385" spans="3:8">
      <c r="C385" s="34"/>
      <c r="D385" s="34"/>
    </row>
    <row r="386" spans="3:8">
      <c r="C386" s="34"/>
      <c r="D386" s="34"/>
    </row>
    <row r="387" spans="3:8">
      <c r="C387" s="34"/>
      <c r="D387" s="34"/>
    </row>
    <row r="388" spans="3:8">
      <c r="C388" s="34"/>
      <c r="D388" s="34"/>
    </row>
    <row r="389" spans="3:8">
      <c r="C389" s="34"/>
      <c r="D389" s="34"/>
    </row>
    <row r="390" spans="3:8">
      <c r="C390" s="34"/>
      <c r="D390" s="34"/>
    </row>
    <row r="391" spans="3:8">
      <c r="C391" s="34"/>
      <c r="D391" s="34"/>
    </row>
    <row r="392" spans="3:8">
      <c r="C392" s="34"/>
      <c r="D392" s="34"/>
    </row>
    <row r="393" spans="3:8">
      <c r="C393" s="34"/>
      <c r="D393" s="34"/>
      <c r="E393" s="25"/>
      <c r="F393" s="25"/>
      <c r="G393" s="25"/>
      <c r="H393" s="25"/>
    </row>
    <row r="394" spans="3:8">
      <c r="C394" s="34"/>
      <c r="D394" s="34"/>
    </row>
    <row r="395" spans="3:8">
      <c r="C395" s="34"/>
      <c r="D395" s="34"/>
    </row>
    <row r="396" spans="3:8">
      <c r="C396" s="34"/>
      <c r="D396" s="34"/>
    </row>
    <row r="397" spans="3:8">
      <c r="C397" s="34"/>
      <c r="D397" s="34"/>
    </row>
    <row r="398" spans="3:8">
      <c r="C398" s="34"/>
      <c r="D398" s="34"/>
    </row>
    <row r="399" spans="3:8">
      <c r="C399" s="34"/>
      <c r="D399" s="34"/>
    </row>
    <row r="400" spans="3:8">
      <c r="C400" s="34"/>
      <c r="D400" s="34"/>
      <c r="H400" s="24"/>
    </row>
    <row r="401" spans="3:8">
      <c r="C401" s="34"/>
      <c r="D401" s="34"/>
      <c r="H401" s="24"/>
    </row>
    <row r="402" spans="3:8">
      <c r="C402" s="34"/>
      <c r="D402" s="34"/>
    </row>
    <row r="403" spans="3:8">
      <c r="C403" s="34"/>
      <c r="D403" s="34"/>
    </row>
    <row r="404" spans="3:8">
      <c r="C404" s="34"/>
      <c r="D404" s="34"/>
    </row>
    <row r="405" spans="3:8">
      <c r="C405" s="34"/>
      <c r="D405" s="34"/>
    </row>
    <row r="406" spans="3:8">
      <c r="C406" s="34"/>
      <c r="D406" s="34"/>
    </row>
    <row r="407" spans="3:8">
      <c r="C407" s="34"/>
      <c r="D407" s="34"/>
    </row>
    <row r="408" spans="3:8">
      <c r="C408" s="34"/>
      <c r="D408" s="34"/>
    </row>
    <row r="409" spans="3:8">
      <c r="C409" s="34"/>
      <c r="D409" s="34"/>
    </row>
    <row r="410" spans="3:8">
      <c r="C410" s="34"/>
      <c r="D410" s="34"/>
    </row>
    <row r="411" spans="3:8">
      <c r="C411" s="34"/>
      <c r="D411" s="34"/>
    </row>
    <row r="412" spans="3:8">
      <c r="C412" s="34"/>
      <c r="D412" s="34"/>
    </row>
    <row r="413" spans="3:8">
      <c r="C413" s="34"/>
      <c r="D413" s="34"/>
    </row>
    <row r="414" spans="3:8">
      <c r="C414" s="34"/>
      <c r="D414" s="34"/>
    </row>
    <row r="415" spans="3:8">
      <c r="C415" s="34"/>
      <c r="D415" s="34"/>
    </row>
    <row r="416" spans="3:8">
      <c r="C416" s="34"/>
      <c r="D416" s="34"/>
    </row>
    <row r="417" spans="3:8">
      <c r="C417" s="34"/>
      <c r="D417" s="34"/>
    </row>
    <row r="418" spans="3:8">
      <c r="C418" s="34"/>
      <c r="D418" s="34"/>
    </row>
    <row r="419" spans="3:8">
      <c r="C419" s="34"/>
      <c r="D419" s="34"/>
    </row>
    <row r="420" spans="3:8">
      <c r="C420" s="34"/>
      <c r="D420" s="34"/>
    </row>
    <row r="421" spans="3:8">
      <c r="C421" s="34"/>
      <c r="D421" s="34"/>
    </row>
    <row r="422" spans="3:8">
      <c r="C422" s="34"/>
      <c r="D422" s="34"/>
    </row>
    <row r="423" spans="3:8">
      <c r="C423" s="34"/>
      <c r="D423" s="34"/>
      <c r="E423" s="25"/>
      <c r="F423" s="25"/>
      <c r="G423" s="25"/>
      <c r="H423" s="25"/>
    </row>
    <row r="424" spans="3:8">
      <c r="C424" s="34"/>
      <c r="D424" s="34"/>
    </row>
    <row r="425" spans="3:8">
      <c r="C425" s="34"/>
      <c r="D425" s="34"/>
    </row>
    <row r="426" spans="3:8">
      <c r="C426" s="34"/>
      <c r="D426" s="34"/>
    </row>
    <row r="427" spans="3:8">
      <c r="C427" s="34"/>
      <c r="D427" s="34"/>
    </row>
    <row r="428" spans="3:8">
      <c r="C428" s="34"/>
      <c r="D428" s="34"/>
    </row>
    <row r="429" spans="3:8">
      <c r="C429" s="34"/>
      <c r="D429" s="34"/>
    </row>
    <row r="430" spans="3:8">
      <c r="C430" s="34"/>
      <c r="D430" s="34"/>
      <c r="H430" s="24"/>
    </row>
    <row r="431" spans="3:8">
      <c r="C431" s="34"/>
      <c r="D431" s="34"/>
      <c r="H431" s="24"/>
    </row>
    <row r="432" spans="3:8">
      <c r="C432" s="34"/>
      <c r="D432" s="34"/>
    </row>
    <row r="433" spans="3:4">
      <c r="C433" s="34"/>
      <c r="D433" s="34"/>
    </row>
    <row r="434" spans="3:4">
      <c r="C434" s="34"/>
      <c r="D434" s="34"/>
    </row>
    <row r="435" spans="3:4">
      <c r="C435" s="34"/>
      <c r="D435" s="34"/>
    </row>
    <row r="436" spans="3:4">
      <c r="C436" s="34"/>
      <c r="D436" s="34"/>
    </row>
    <row r="437" spans="3:4">
      <c r="C437" s="34"/>
      <c r="D437" s="34"/>
    </row>
    <row r="438" spans="3:4">
      <c r="C438" s="34"/>
      <c r="D438" s="34"/>
    </row>
    <row r="439" spans="3:4">
      <c r="C439" s="34"/>
      <c r="D439" s="34"/>
    </row>
    <row r="440" spans="3:4">
      <c r="C440" s="34"/>
      <c r="D440" s="34"/>
    </row>
    <row r="441" spans="3:4">
      <c r="C441" s="34"/>
      <c r="D441" s="34"/>
    </row>
    <row r="442" spans="3:4">
      <c r="C442" s="34"/>
      <c r="D442" s="34"/>
    </row>
    <row r="443" spans="3:4">
      <c r="C443" s="34"/>
      <c r="D443" s="34"/>
    </row>
    <row r="444" spans="3:4">
      <c r="C444" s="34"/>
      <c r="D444" s="34"/>
    </row>
    <row r="445" spans="3:4">
      <c r="C445" s="34"/>
      <c r="D445" s="34"/>
    </row>
    <row r="446" spans="3:4">
      <c r="C446" s="34"/>
      <c r="D446" s="34"/>
    </row>
    <row r="447" spans="3:4">
      <c r="C447" s="34"/>
      <c r="D447" s="34"/>
    </row>
    <row r="448" spans="3:4">
      <c r="C448" s="34"/>
      <c r="D448" s="34"/>
    </row>
    <row r="449" spans="3:8">
      <c r="C449" s="34"/>
      <c r="D449" s="34"/>
    </row>
    <row r="450" spans="3:8">
      <c r="C450" s="34"/>
      <c r="D450" s="34"/>
    </row>
    <row r="451" spans="3:8">
      <c r="C451" s="34"/>
      <c r="D451" s="34"/>
    </row>
    <row r="452" spans="3:8">
      <c r="C452" s="34"/>
      <c r="D452" s="34"/>
    </row>
    <row r="453" spans="3:8">
      <c r="C453" s="34"/>
      <c r="D453" s="34"/>
      <c r="E453" s="25"/>
      <c r="F453" s="25"/>
      <c r="G453" s="25"/>
      <c r="H453" s="25"/>
    </row>
    <row r="454" spans="3:8">
      <c r="C454" s="34"/>
      <c r="D454" s="34"/>
    </row>
    <row r="455" spans="3:8">
      <c r="C455" s="34"/>
      <c r="D455" s="34"/>
    </row>
    <row r="456" spans="3:8">
      <c r="C456" s="34"/>
      <c r="D456" s="34"/>
    </row>
    <row r="457" spans="3:8">
      <c r="C457" s="34"/>
      <c r="D457" s="34"/>
    </row>
    <row r="458" spans="3:8">
      <c r="C458" s="34"/>
      <c r="D458" s="34"/>
    </row>
    <row r="459" spans="3:8">
      <c r="C459" s="34"/>
      <c r="D459" s="34"/>
    </row>
    <row r="460" spans="3:8">
      <c r="C460" s="34"/>
      <c r="D460" s="34"/>
      <c r="H460" s="24"/>
    </row>
    <row r="461" spans="3:8">
      <c r="C461" s="34"/>
      <c r="D461" s="34"/>
      <c r="H461" s="24"/>
    </row>
    <row r="462" spans="3:8">
      <c r="C462" s="34"/>
      <c r="D462" s="34"/>
    </row>
    <row r="463" spans="3:8">
      <c r="C463" s="34"/>
      <c r="D463" s="34"/>
    </row>
    <row r="464" spans="3:8">
      <c r="C464" s="34"/>
      <c r="D464" s="34"/>
    </row>
    <row r="465" spans="3:4">
      <c r="C465" s="34"/>
      <c r="D465" s="34"/>
    </row>
    <row r="466" spans="3:4">
      <c r="C466" s="34"/>
      <c r="D466" s="34"/>
    </row>
    <row r="467" spans="3:4">
      <c r="C467" s="34"/>
      <c r="D467" s="34"/>
    </row>
    <row r="468" spans="3:4">
      <c r="C468" s="34"/>
      <c r="D468" s="34"/>
    </row>
    <row r="469" spans="3:4">
      <c r="C469" s="34"/>
      <c r="D469" s="34"/>
    </row>
    <row r="470" spans="3:4">
      <c r="C470" s="34"/>
      <c r="D470" s="34"/>
    </row>
    <row r="471" spans="3:4">
      <c r="C471" s="34"/>
      <c r="D471" s="34"/>
    </row>
    <row r="472" spans="3:4">
      <c r="C472" s="34"/>
      <c r="D472" s="34"/>
    </row>
    <row r="473" spans="3:4">
      <c r="C473" s="34"/>
      <c r="D473" s="34"/>
    </row>
    <row r="474" spans="3:4">
      <c r="C474" s="34"/>
      <c r="D474" s="34"/>
    </row>
    <row r="475" spans="3:4">
      <c r="C475" s="34"/>
      <c r="D475" s="34"/>
    </row>
    <row r="476" spans="3:4">
      <c r="C476" s="34"/>
      <c r="D476" s="34"/>
    </row>
    <row r="477" spans="3:4">
      <c r="C477" s="34"/>
      <c r="D477" s="34"/>
    </row>
    <row r="478" spans="3:4">
      <c r="C478" s="34"/>
      <c r="D478" s="34"/>
    </row>
    <row r="479" spans="3:4">
      <c r="C479" s="34"/>
      <c r="D479" s="34"/>
    </row>
    <row r="480" spans="3:4">
      <c r="C480" s="34"/>
      <c r="D480" s="34"/>
    </row>
    <row r="481" spans="3:8">
      <c r="C481" s="34"/>
      <c r="D481" s="34"/>
    </row>
    <row r="482" spans="3:8">
      <c r="C482" s="34"/>
      <c r="D482" s="34"/>
    </row>
    <row r="483" spans="3:8">
      <c r="C483" s="34"/>
      <c r="D483" s="34"/>
      <c r="E483" s="25"/>
      <c r="F483" s="25"/>
      <c r="G483" s="25"/>
      <c r="H483" s="25"/>
    </row>
    <row r="484" spans="3:8">
      <c r="C484" s="34"/>
      <c r="D484" s="34"/>
    </row>
    <row r="485" spans="3:8">
      <c r="C485" s="34"/>
      <c r="D485" s="34"/>
    </row>
    <row r="486" spans="3:8">
      <c r="C486" s="34"/>
      <c r="D486" s="34"/>
    </row>
    <row r="487" spans="3:8">
      <c r="C487" s="34"/>
      <c r="D487" s="34"/>
    </row>
    <row r="488" spans="3:8">
      <c r="C488" s="34"/>
      <c r="D488" s="34"/>
    </row>
    <row r="489" spans="3:8">
      <c r="C489" s="34"/>
      <c r="D489" s="34"/>
    </row>
    <row r="490" spans="3:8">
      <c r="C490" s="34"/>
      <c r="D490" s="34"/>
      <c r="H490" s="24"/>
    </row>
    <row r="491" spans="3:8">
      <c r="C491" s="34"/>
      <c r="D491" s="34"/>
      <c r="H491" s="24"/>
    </row>
    <row r="492" spans="3:8">
      <c r="C492" s="34"/>
      <c r="D492" s="34"/>
    </row>
    <row r="493" spans="3:8">
      <c r="C493" s="34"/>
      <c r="D493" s="34"/>
    </row>
    <row r="494" spans="3:8">
      <c r="C494" s="34"/>
      <c r="D494" s="34"/>
    </row>
    <row r="495" spans="3:8">
      <c r="C495" s="34"/>
      <c r="D495" s="34"/>
    </row>
    <row r="496" spans="3:8">
      <c r="C496" s="34"/>
      <c r="D496" s="34"/>
    </row>
    <row r="497" spans="3:4">
      <c r="C497" s="34"/>
      <c r="D497" s="34"/>
    </row>
    <row r="498" spans="3:4">
      <c r="C498" s="34"/>
      <c r="D498" s="34"/>
    </row>
    <row r="499" spans="3:4">
      <c r="C499" s="34"/>
      <c r="D499" s="34"/>
    </row>
    <row r="500" spans="3:4">
      <c r="C500" s="34"/>
      <c r="D500" s="34"/>
    </row>
    <row r="501" spans="3:4">
      <c r="C501" s="34"/>
      <c r="D501" s="34"/>
    </row>
    <row r="502" spans="3:4">
      <c r="C502" s="34"/>
      <c r="D502" s="34"/>
    </row>
    <row r="503" spans="3:4">
      <c r="C503" s="34"/>
      <c r="D503" s="34"/>
    </row>
    <row r="504" spans="3:4">
      <c r="C504" s="34"/>
      <c r="D504" s="34"/>
    </row>
    <row r="505" spans="3:4">
      <c r="C505" s="34"/>
      <c r="D505" s="34"/>
    </row>
    <row r="506" spans="3:4">
      <c r="C506" s="34"/>
      <c r="D506" s="34"/>
    </row>
    <row r="507" spans="3:4">
      <c r="C507" s="34"/>
      <c r="D507" s="34"/>
    </row>
    <row r="508" spans="3:4">
      <c r="C508" s="34"/>
      <c r="D508" s="34"/>
    </row>
    <row r="509" spans="3:4">
      <c r="C509" s="34"/>
      <c r="D509" s="34"/>
    </row>
    <row r="510" spans="3:4">
      <c r="C510" s="34"/>
      <c r="D510" s="34"/>
    </row>
    <row r="511" spans="3:4">
      <c r="C511" s="34"/>
      <c r="D511" s="34"/>
    </row>
    <row r="512" spans="3:4">
      <c r="C512" s="34"/>
      <c r="D512" s="34"/>
    </row>
    <row r="513" spans="3:8">
      <c r="C513" s="34"/>
      <c r="D513" s="34"/>
      <c r="E513" s="25"/>
      <c r="F513" s="25"/>
      <c r="G513" s="25"/>
      <c r="H513" s="25"/>
    </row>
    <row r="514" spans="3:8">
      <c r="C514" s="34"/>
      <c r="D514" s="34"/>
    </row>
    <row r="515" spans="3:8">
      <c r="C515" s="34"/>
      <c r="D515" s="34"/>
    </row>
    <row r="516" spans="3:8">
      <c r="C516" s="34"/>
      <c r="D516" s="34"/>
    </row>
    <row r="517" spans="3:8">
      <c r="C517" s="34"/>
      <c r="D517" s="34"/>
    </row>
    <row r="518" spans="3:8">
      <c r="C518" s="34"/>
      <c r="D518" s="34"/>
    </row>
    <row r="519" spans="3:8">
      <c r="C519" s="34"/>
      <c r="D519" s="34"/>
    </row>
    <row r="520" spans="3:8">
      <c r="C520" s="34"/>
      <c r="D520" s="34"/>
      <c r="H520" s="24"/>
    </row>
    <row r="521" spans="3:8">
      <c r="C521" s="34"/>
      <c r="D521" s="34"/>
      <c r="H521" s="24"/>
    </row>
    <row r="522" spans="3:8">
      <c r="C522" s="34"/>
      <c r="D522" s="34"/>
    </row>
    <row r="523" spans="3:8">
      <c r="C523" s="34"/>
      <c r="D523" s="34"/>
    </row>
    <row r="524" spans="3:8">
      <c r="C524" s="34"/>
      <c r="D524" s="34"/>
    </row>
    <row r="525" spans="3:8">
      <c r="C525" s="34"/>
      <c r="D525" s="34"/>
    </row>
    <row r="526" spans="3:8">
      <c r="C526" s="34"/>
      <c r="D526" s="34"/>
    </row>
    <row r="527" spans="3:8">
      <c r="C527" s="34"/>
      <c r="D527" s="34"/>
    </row>
    <row r="528" spans="3:8">
      <c r="C528" s="34"/>
      <c r="D528" s="34"/>
    </row>
    <row r="529" spans="3:8">
      <c r="C529" s="34"/>
      <c r="D529" s="34"/>
    </row>
    <row r="530" spans="3:8">
      <c r="C530" s="34"/>
      <c r="D530" s="34"/>
    </row>
    <row r="531" spans="3:8">
      <c r="C531" s="34"/>
      <c r="D531" s="34"/>
    </row>
    <row r="532" spans="3:8">
      <c r="C532" s="34"/>
      <c r="D532" s="34"/>
    </row>
    <row r="533" spans="3:8">
      <c r="C533" s="34"/>
      <c r="D533" s="34"/>
    </row>
    <row r="534" spans="3:8">
      <c r="C534" s="34"/>
      <c r="D534" s="34"/>
    </row>
    <row r="535" spans="3:8">
      <c r="C535" s="34"/>
      <c r="D535" s="34"/>
    </row>
    <row r="536" spans="3:8">
      <c r="C536" s="34"/>
      <c r="D536" s="34"/>
    </row>
    <row r="537" spans="3:8">
      <c r="C537" s="34"/>
      <c r="D537" s="34"/>
    </row>
    <row r="538" spans="3:8">
      <c r="C538" s="34"/>
      <c r="D538" s="34"/>
    </row>
    <row r="539" spans="3:8">
      <c r="C539" s="34"/>
      <c r="D539" s="34"/>
    </row>
    <row r="540" spans="3:8">
      <c r="C540" s="34"/>
      <c r="D540" s="34"/>
    </row>
    <row r="541" spans="3:8">
      <c r="C541" s="34"/>
      <c r="D541" s="34"/>
    </row>
    <row r="542" spans="3:8">
      <c r="C542" s="34"/>
      <c r="D542" s="34"/>
    </row>
    <row r="543" spans="3:8">
      <c r="C543" s="34"/>
      <c r="D543" s="34"/>
      <c r="E543" s="25"/>
      <c r="F543" s="25"/>
      <c r="G543" s="25"/>
      <c r="H543" s="25"/>
    </row>
    <row r="544" spans="3:8">
      <c r="C544" s="34"/>
      <c r="D544" s="34"/>
    </row>
    <row r="545" spans="3:8">
      <c r="C545" s="34"/>
      <c r="D545" s="34"/>
    </row>
    <row r="546" spans="3:8">
      <c r="C546" s="34"/>
      <c r="D546" s="34"/>
    </row>
    <row r="547" spans="3:8">
      <c r="C547" s="34"/>
      <c r="D547" s="34"/>
    </row>
    <row r="548" spans="3:8">
      <c r="C548" s="34"/>
      <c r="D548" s="34"/>
    </row>
    <row r="549" spans="3:8">
      <c r="C549" s="34"/>
      <c r="D549" s="34"/>
    </row>
    <row r="550" spans="3:8">
      <c r="C550" s="34"/>
      <c r="D550" s="34"/>
      <c r="H550" s="24"/>
    </row>
    <row r="551" spans="3:8">
      <c r="C551" s="34"/>
      <c r="D551" s="34"/>
      <c r="H551" s="24"/>
    </row>
    <row r="552" spans="3:8">
      <c r="C552" s="34"/>
      <c r="D552" s="34"/>
    </row>
    <row r="553" spans="3:8">
      <c r="C553" s="34"/>
      <c r="D553" s="34"/>
    </row>
    <row r="554" spans="3:8">
      <c r="C554" s="34"/>
      <c r="D554" s="34"/>
    </row>
    <row r="555" spans="3:8">
      <c r="C555" s="34"/>
      <c r="D555" s="34"/>
    </row>
    <row r="556" spans="3:8">
      <c r="C556" s="34"/>
      <c r="D556" s="34"/>
    </row>
    <row r="557" spans="3:8">
      <c r="C557" s="34"/>
      <c r="D557" s="34"/>
    </row>
    <row r="558" spans="3:8">
      <c r="C558" s="34"/>
      <c r="D558" s="34"/>
    </row>
    <row r="559" spans="3:8">
      <c r="C559" s="34"/>
      <c r="D559" s="34"/>
    </row>
    <row r="560" spans="3:8">
      <c r="C560" s="34"/>
      <c r="D560" s="34"/>
    </row>
    <row r="561" spans="3:8">
      <c r="C561" s="34"/>
      <c r="D561" s="34"/>
    </row>
    <row r="562" spans="3:8">
      <c r="C562" s="34"/>
      <c r="D562" s="34"/>
    </row>
    <row r="563" spans="3:8">
      <c r="C563" s="34"/>
      <c r="D563" s="34"/>
    </row>
    <row r="564" spans="3:8">
      <c r="C564" s="34"/>
      <c r="D564" s="34"/>
    </row>
    <row r="565" spans="3:8">
      <c r="C565" s="34"/>
      <c r="D565" s="34"/>
    </row>
    <row r="566" spans="3:8">
      <c r="C566" s="34"/>
      <c r="D566" s="34"/>
    </row>
    <row r="567" spans="3:8">
      <c r="C567" s="34"/>
      <c r="D567" s="34"/>
    </row>
    <row r="568" spans="3:8">
      <c r="C568" s="34"/>
      <c r="D568" s="34"/>
    </row>
    <row r="569" spans="3:8">
      <c r="C569" s="34"/>
      <c r="D569" s="34"/>
    </row>
    <row r="570" spans="3:8">
      <c r="C570" s="34"/>
      <c r="D570" s="34"/>
    </row>
    <row r="571" spans="3:8">
      <c r="C571" s="34"/>
      <c r="D571" s="34"/>
    </row>
    <row r="572" spans="3:8">
      <c r="C572" s="34"/>
      <c r="D572" s="34"/>
    </row>
    <row r="573" spans="3:8">
      <c r="C573" s="34"/>
      <c r="D573" s="34"/>
      <c r="E573" s="25"/>
      <c r="F573" s="25"/>
      <c r="G573" s="25"/>
      <c r="H573" s="25"/>
    </row>
    <row r="574" spans="3:8">
      <c r="C574" s="34"/>
      <c r="D574" s="34"/>
    </row>
    <row r="575" spans="3:8">
      <c r="C575" s="34"/>
      <c r="D575" s="34"/>
    </row>
    <row r="576" spans="3:8">
      <c r="C576" s="34"/>
      <c r="D576" s="34"/>
    </row>
    <row r="577" spans="3:8">
      <c r="C577" s="34"/>
      <c r="D577" s="34"/>
    </row>
    <row r="578" spans="3:8">
      <c r="C578" s="34"/>
      <c r="D578" s="34"/>
    </row>
    <row r="579" spans="3:8">
      <c r="C579" s="34"/>
      <c r="D579" s="34"/>
    </row>
    <row r="580" spans="3:8">
      <c r="C580" s="34"/>
      <c r="D580" s="34"/>
      <c r="H580" s="24"/>
    </row>
    <row r="581" spans="3:8">
      <c r="C581" s="34"/>
      <c r="D581" s="34"/>
      <c r="H581" s="24"/>
    </row>
    <row r="582" spans="3:8">
      <c r="C582" s="34"/>
      <c r="D582" s="34"/>
    </row>
    <row r="583" spans="3:8">
      <c r="C583" s="34"/>
      <c r="D583" s="34"/>
    </row>
    <row r="584" spans="3:8">
      <c r="C584" s="34"/>
      <c r="D584" s="34"/>
    </row>
    <row r="585" spans="3:8">
      <c r="C585" s="34"/>
      <c r="D585" s="34"/>
    </row>
    <row r="586" spans="3:8">
      <c r="C586" s="34"/>
      <c r="D586" s="34"/>
    </row>
    <row r="587" spans="3:8">
      <c r="C587" s="34"/>
      <c r="D587" s="34"/>
    </row>
    <row r="588" spans="3:8">
      <c r="C588" s="34"/>
      <c r="D588" s="34"/>
    </row>
    <row r="589" spans="3:8">
      <c r="C589" s="34"/>
      <c r="D589" s="34"/>
    </row>
    <row r="590" spans="3:8">
      <c r="C590" s="34"/>
      <c r="D590" s="34"/>
    </row>
    <row r="591" spans="3:8">
      <c r="C591" s="34"/>
      <c r="D591" s="34"/>
    </row>
    <row r="592" spans="3:8">
      <c r="C592" s="34"/>
      <c r="D592" s="34"/>
    </row>
    <row r="593" spans="3:4">
      <c r="C593" s="34"/>
      <c r="D593" s="34"/>
    </row>
    <row r="594" spans="3:4">
      <c r="C594" s="34"/>
      <c r="D594" s="34"/>
    </row>
    <row r="595" spans="3:4">
      <c r="C595" s="34"/>
      <c r="D595" s="34"/>
    </row>
    <row r="596" spans="3:4">
      <c r="C596" s="34"/>
      <c r="D596" s="34"/>
    </row>
    <row r="597" spans="3:4">
      <c r="C597" s="34"/>
      <c r="D597" s="34"/>
    </row>
    <row r="598" spans="3:4">
      <c r="C598" s="34"/>
      <c r="D598" s="34"/>
    </row>
    <row r="599" spans="3:4">
      <c r="C599" s="34"/>
      <c r="D599" s="34"/>
    </row>
    <row r="600" spans="3:4">
      <c r="C600" s="34"/>
      <c r="D600" s="34"/>
    </row>
    <row r="601" spans="3:4">
      <c r="C601" s="34"/>
      <c r="D601" s="34"/>
    </row>
    <row r="602" spans="3:4">
      <c r="C602" s="34"/>
      <c r="D602" s="34"/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21"/>
  <sheetViews>
    <sheetView zoomScaleNormal="100" workbookViewId="0">
      <selection sqref="A1:E1"/>
    </sheetView>
  </sheetViews>
  <sheetFormatPr defaultColWidth="8.88671875" defaultRowHeight="14.4"/>
  <cols>
    <col min="1" max="1" width="5" style="49" customWidth="1"/>
    <col min="2" max="2" width="6.21875" style="49" bestFit="1" customWidth="1"/>
    <col min="3" max="3" width="7.77734375" style="19" bestFit="1" customWidth="1"/>
    <col min="4" max="4" width="8.88671875" style="19"/>
    <col min="5" max="5" width="10.5546875" style="19" bestFit="1" customWidth="1"/>
    <col min="6" max="16384" width="8.88671875" style="20"/>
  </cols>
  <sheetData>
    <row r="1" spans="1:21">
      <c r="A1" s="76" t="s">
        <v>15</v>
      </c>
      <c r="B1" s="76"/>
      <c r="C1" s="76"/>
      <c r="D1" s="76"/>
      <c r="E1" s="76"/>
      <c r="F1" s="77"/>
      <c r="G1" s="77"/>
      <c r="H1" s="77"/>
      <c r="I1" s="77"/>
      <c r="J1" s="77"/>
      <c r="K1" s="77"/>
      <c r="L1" s="77"/>
      <c r="M1" s="77"/>
    </row>
    <row r="2" spans="1:21" s="30" customFormat="1">
      <c r="A2" s="48" t="s">
        <v>11</v>
      </c>
      <c r="B2" s="48" t="s">
        <v>26</v>
      </c>
      <c r="C2" s="36" t="s">
        <v>27</v>
      </c>
      <c r="D2" s="36" t="s">
        <v>13</v>
      </c>
      <c r="E2" s="36" t="s">
        <v>12</v>
      </c>
    </row>
    <row r="3" spans="1:21">
      <c r="C3" s="49"/>
    </row>
    <row r="11" spans="1:21">
      <c r="Q11" s="19"/>
    </row>
    <row r="12" spans="1:21">
      <c r="Q12" s="19"/>
      <c r="R12" s="47"/>
      <c r="T12" s="47"/>
      <c r="U12" s="47"/>
    </row>
    <row r="13" spans="1:21">
      <c r="Q13" s="19"/>
      <c r="R13" s="47"/>
      <c r="T13" s="47"/>
      <c r="U13" s="47"/>
    </row>
    <row r="14" spans="1:21">
      <c r="Q14" s="19"/>
      <c r="R14" s="47"/>
      <c r="T14" s="47"/>
      <c r="U14" s="47"/>
    </row>
    <row r="15" spans="1:21">
      <c r="Q15" s="19"/>
      <c r="R15" s="47"/>
      <c r="T15" s="47"/>
      <c r="U15" s="47"/>
    </row>
    <row r="16" spans="1:21">
      <c r="Q16" s="19"/>
      <c r="R16" s="47"/>
      <c r="T16" s="47"/>
      <c r="U16" s="47"/>
    </row>
    <row r="17" spans="9:21">
      <c r="Q17" s="19"/>
      <c r="R17" s="47"/>
      <c r="T17" s="47"/>
      <c r="U17" s="47"/>
    </row>
    <row r="18" spans="9:21">
      <c r="Q18" s="19"/>
      <c r="R18" s="47"/>
      <c r="T18" s="47"/>
      <c r="U18" s="47"/>
    </row>
    <row r="19" spans="9:21">
      <c r="R19" s="47"/>
      <c r="T19" s="47"/>
      <c r="U19" s="47"/>
    </row>
    <row r="21" spans="9:21">
      <c r="I21" s="22"/>
    </row>
  </sheetData>
  <mergeCells count="2">
    <mergeCell ref="A1:E1"/>
    <mergeCell ref="F1:M1"/>
  </mergeCells>
  <phoneticPr fontId="3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Section I Data Input</vt:lpstr>
      <vt:lpstr>Section II Ladder and Sample</vt:lpstr>
      <vt:lpstr>Section III Length Calculation</vt:lpstr>
      <vt:lpstr>Section IV Result</vt:lpstr>
    </vt:vector>
  </TitlesOfParts>
  <Company>IU Medical &amp; Molecular Genetics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LiRen Tu</dc:creator>
  <cp:lastModifiedBy>LIREN TU</cp:lastModifiedBy>
  <dcterms:created xsi:type="dcterms:W3CDTF">2011-02-18T21:32:44Z</dcterms:created>
  <dcterms:modified xsi:type="dcterms:W3CDTF">2013-06-24T02:51:31Z</dcterms:modified>
</cp:coreProperties>
</file>